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zen5\Desktop\"/>
    </mc:Choice>
  </mc:AlternateContent>
  <xr:revisionPtr revIDLastSave="0" documentId="13_ncr:1_{69525CB8-5A87-40AD-BA9C-7C8A40B49292}" xr6:coauthVersionLast="47" xr6:coauthVersionMax="47" xr10:uidLastSave="{00000000-0000-0000-0000-000000000000}"/>
  <bookViews>
    <workbookView xWindow="-108" yWindow="-108" windowWidth="23256" windowHeight="12456" xr2:uid="{713E5B8E-7C0A-2C47-A615-F0C6A6A1DD39}"/>
  </bookViews>
  <sheets>
    <sheet name="DOLARES" sheetId="7" r:id="rId1"/>
    <sheet name="BOLIVARES" sheetId="1" r:id="rId2"/>
    <sheet name="CAMBIOS" sheetId="8" r:id="rId3"/>
    <sheet name="CLIENTES" sheetId="3" r:id="rId4"/>
    <sheet name="BANCOS" sheetId="5" r:id="rId5"/>
    <sheet name="PLATAFORMAS" sheetId="6" r:id="rId6"/>
    <sheet name="LISTAS" sheetId="2" r:id="rId7"/>
    <sheet name="Hoja1" sheetId="9" r:id="rId8"/>
  </sheets>
  <definedNames>
    <definedName name="_xlnm._FilterDatabase" localSheetId="6" hidden="1">LISTAS!#REF!</definedName>
    <definedName name="BANCOS">Tabla4[BANCOS]</definedName>
    <definedName name="CLIENTES">Tabla3[CLIENTES]</definedName>
    <definedName name="DOLARES">Tabla12[#All]</definedName>
    <definedName name="EMISOR2">Tabla12[[#All],[EMISOR2]]</definedName>
    <definedName name="GASTOS">GASTOS2[GASTOS]</definedName>
    <definedName name="ORIGEN">Tabla2[ORIGEN]</definedName>
    <definedName name="OTROS">#REF!</definedName>
    <definedName name="PLATAFORMAS">Tabla10[PLATAFORMAS]</definedName>
    <definedName name="RECEPTOR">BOLIVARES!#REF!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7" l="1"/>
  <c r="I4" i="7"/>
  <c r="I5" i="7"/>
  <c r="I6" i="7"/>
  <c r="I7" i="7"/>
  <c r="I8" i="7"/>
  <c r="I9" i="7"/>
  <c r="I10" i="7"/>
  <c r="I11" i="7"/>
  <c r="I12" i="7"/>
  <c r="I13" i="7"/>
  <c r="I14" i="7"/>
  <c r="B3" i="3"/>
  <c r="D3" i="3"/>
  <c r="E3" i="3"/>
  <c r="F3" i="3"/>
  <c r="G3" i="3"/>
  <c r="H3" i="3"/>
  <c r="B4" i="3"/>
  <c r="D4" i="3"/>
  <c r="E4" i="3"/>
  <c r="F4" i="3"/>
  <c r="G4" i="3"/>
  <c r="H4" i="3"/>
  <c r="B5" i="3"/>
  <c r="D5" i="3"/>
  <c r="F5" i="3"/>
  <c r="G5" i="3"/>
  <c r="H5" i="3"/>
  <c r="B6" i="3"/>
  <c r="D6" i="3"/>
  <c r="F6" i="3"/>
  <c r="G6" i="3"/>
  <c r="B7" i="3"/>
  <c r="D7" i="3"/>
  <c r="E7" i="3"/>
  <c r="F7" i="3"/>
  <c r="G7" i="3"/>
  <c r="H7" i="3"/>
  <c r="B8" i="3"/>
  <c r="D8" i="3"/>
  <c r="E8" i="3"/>
  <c r="F8" i="3"/>
  <c r="G8" i="3"/>
  <c r="H8" i="3"/>
  <c r="B9" i="3"/>
  <c r="D9" i="3"/>
  <c r="E9" i="3"/>
  <c r="F9" i="3"/>
  <c r="G9" i="3"/>
  <c r="H9" i="3"/>
  <c r="B10" i="3"/>
  <c r="D10" i="3"/>
  <c r="E10" i="3"/>
  <c r="F10" i="3"/>
  <c r="G10" i="3"/>
  <c r="H10" i="3"/>
  <c r="B11" i="3"/>
  <c r="D11" i="3"/>
  <c r="E11" i="3"/>
  <c r="F11" i="3"/>
  <c r="G11" i="3"/>
  <c r="H11" i="3"/>
  <c r="B12" i="3"/>
  <c r="D12" i="3"/>
  <c r="E12" i="3"/>
  <c r="F12" i="3"/>
  <c r="G12" i="3"/>
  <c r="H12" i="3"/>
  <c r="B13" i="3"/>
  <c r="D13" i="3"/>
  <c r="E13" i="3"/>
  <c r="F13" i="3"/>
  <c r="G13" i="3"/>
  <c r="H13" i="3"/>
  <c r="B14" i="3"/>
  <c r="D14" i="3"/>
  <c r="E14" i="3"/>
  <c r="F14" i="3"/>
  <c r="G14" i="3"/>
  <c r="H14" i="3"/>
  <c r="B15" i="3"/>
  <c r="D15" i="3"/>
  <c r="E15" i="3"/>
  <c r="F15" i="3"/>
  <c r="G15" i="3"/>
  <c r="H15" i="3"/>
  <c r="B16" i="3"/>
  <c r="D16" i="3"/>
  <c r="E16" i="3"/>
  <c r="F16" i="3"/>
  <c r="G16" i="3"/>
  <c r="H16" i="3"/>
  <c r="B17" i="3"/>
  <c r="D17" i="3"/>
  <c r="E17" i="3"/>
  <c r="F17" i="3"/>
  <c r="G17" i="3"/>
  <c r="H17" i="3"/>
  <c r="B18" i="3"/>
  <c r="D18" i="3"/>
  <c r="E18" i="3"/>
  <c r="F18" i="3"/>
  <c r="G18" i="3"/>
  <c r="H18" i="3"/>
  <c r="B19" i="3"/>
  <c r="D19" i="3"/>
  <c r="E19" i="3"/>
  <c r="F19" i="3"/>
  <c r="G19" i="3"/>
  <c r="H19" i="3"/>
  <c r="B20" i="3"/>
  <c r="D20" i="3"/>
  <c r="E20" i="3"/>
  <c r="F20" i="3"/>
  <c r="G20" i="3"/>
  <c r="H20" i="3"/>
  <c r="B21" i="3"/>
  <c r="D21" i="3"/>
  <c r="E21" i="3"/>
  <c r="F21" i="3"/>
  <c r="G21" i="3"/>
  <c r="H21" i="3"/>
  <c r="B22" i="3"/>
  <c r="D22" i="3"/>
  <c r="E22" i="3"/>
  <c r="F22" i="3"/>
  <c r="G22" i="3"/>
  <c r="H22" i="3"/>
  <c r="B23" i="3"/>
  <c r="D23" i="3"/>
  <c r="E23" i="3"/>
  <c r="F23" i="3"/>
  <c r="G23" i="3"/>
  <c r="H23" i="3"/>
  <c r="B24" i="3"/>
  <c r="D24" i="3"/>
  <c r="E24" i="3"/>
  <c r="F24" i="3"/>
  <c r="G24" i="3"/>
  <c r="H24" i="3"/>
  <c r="B25" i="3"/>
  <c r="D25" i="3"/>
  <c r="E25" i="3"/>
  <c r="F25" i="3"/>
  <c r="G25" i="3"/>
  <c r="H25" i="3"/>
  <c r="B26" i="3"/>
  <c r="D26" i="3"/>
  <c r="E26" i="3"/>
  <c r="F26" i="3"/>
  <c r="G26" i="3"/>
  <c r="H26" i="3"/>
  <c r="B27" i="3"/>
  <c r="D27" i="3"/>
  <c r="E27" i="3"/>
  <c r="F27" i="3"/>
  <c r="G27" i="3"/>
  <c r="H27" i="3"/>
  <c r="B28" i="3"/>
  <c r="D28" i="3"/>
  <c r="E28" i="3"/>
  <c r="F28" i="3"/>
  <c r="G28" i="3"/>
  <c r="H28" i="3"/>
  <c r="B29" i="3"/>
  <c r="D29" i="3"/>
  <c r="E29" i="3"/>
  <c r="F29" i="3"/>
  <c r="G29" i="3"/>
  <c r="H29" i="3"/>
  <c r="B30" i="3"/>
  <c r="D30" i="3"/>
  <c r="E30" i="3"/>
  <c r="F30" i="3"/>
  <c r="G30" i="3"/>
  <c r="H30" i="3"/>
  <c r="B31" i="3"/>
  <c r="D31" i="3"/>
  <c r="E31" i="3"/>
  <c r="F31" i="3"/>
  <c r="G31" i="3"/>
  <c r="H31" i="3"/>
  <c r="B32" i="3"/>
  <c r="D32" i="3"/>
  <c r="E32" i="3"/>
  <c r="F32" i="3"/>
  <c r="G32" i="3"/>
  <c r="H32" i="3"/>
  <c r="B33" i="3"/>
  <c r="D33" i="3"/>
  <c r="E33" i="3"/>
  <c r="F33" i="3"/>
  <c r="G33" i="3"/>
  <c r="H33" i="3"/>
  <c r="B34" i="3"/>
  <c r="D34" i="3"/>
  <c r="E34" i="3"/>
  <c r="F34" i="3"/>
  <c r="G34" i="3"/>
  <c r="H34" i="3"/>
  <c r="B35" i="3"/>
  <c r="D35" i="3"/>
  <c r="E35" i="3"/>
  <c r="F35" i="3"/>
  <c r="G35" i="3"/>
  <c r="H35" i="3"/>
  <c r="B36" i="3"/>
  <c r="D36" i="3"/>
  <c r="E36" i="3"/>
  <c r="F36" i="3"/>
  <c r="G36" i="3"/>
  <c r="H36" i="3"/>
  <c r="B37" i="3"/>
  <c r="D37" i="3"/>
  <c r="E37" i="3"/>
  <c r="F37" i="3"/>
  <c r="G37" i="3"/>
  <c r="H37" i="3"/>
  <c r="B38" i="3"/>
  <c r="D38" i="3"/>
  <c r="E38" i="3"/>
  <c r="F38" i="3"/>
  <c r="G38" i="3"/>
  <c r="H38" i="3"/>
  <c r="B39" i="3"/>
  <c r="D39" i="3"/>
  <c r="E39" i="3"/>
  <c r="F39" i="3"/>
  <c r="G39" i="3"/>
  <c r="H39" i="3"/>
  <c r="B40" i="3"/>
  <c r="D40" i="3"/>
  <c r="E40" i="3"/>
  <c r="F40" i="3"/>
  <c r="G40" i="3"/>
  <c r="H40" i="3"/>
  <c r="B41" i="3"/>
  <c r="D41" i="3"/>
  <c r="E41" i="3"/>
  <c r="F41" i="3"/>
  <c r="G41" i="3"/>
  <c r="H41" i="3"/>
  <c r="B42" i="3"/>
  <c r="D42" i="3"/>
  <c r="E42" i="3"/>
  <c r="F42" i="3"/>
  <c r="G42" i="3"/>
  <c r="H42" i="3"/>
  <c r="B43" i="3"/>
  <c r="D43" i="3"/>
  <c r="E43" i="3"/>
  <c r="F43" i="3"/>
  <c r="G43" i="3"/>
  <c r="H43" i="3"/>
  <c r="B44" i="3"/>
  <c r="D44" i="3"/>
  <c r="E44" i="3"/>
  <c r="F44" i="3"/>
  <c r="G44" i="3"/>
  <c r="H44" i="3"/>
  <c r="B45" i="3"/>
  <c r="D45" i="3"/>
  <c r="E45" i="3"/>
  <c r="F45" i="3"/>
  <c r="G45" i="3"/>
  <c r="H45" i="3"/>
  <c r="B46" i="3"/>
  <c r="D46" i="3"/>
  <c r="E46" i="3"/>
  <c r="F46" i="3"/>
  <c r="G46" i="3"/>
  <c r="H46" i="3"/>
  <c r="B47" i="3"/>
  <c r="D47" i="3"/>
  <c r="E47" i="3"/>
  <c r="F47" i="3"/>
  <c r="G47" i="3"/>
  <c r="H47" i="3"/>
  <c r="B48" i="3"/>
  <c r="D48" i="3"/>
  <c r="E48" i="3"/>
  <c r="F48" i="3"/>
  <c r="G48" i="3"/>
  <c r="H48" i="3"/>
  <c r="B49" i="3"/>
  <c r="D49" i="3"/>
  <c r="E49" i="3"/>
  <c r="F49" i="3"/>
  <c r="G49" i="3"/>
  <c r="H49" i="3"/>
  <c r="B50" i="3"/>
  <c r="D50" i="3"/>
  <c r="E50" i="3"/>
  <c r="F50" i="3"/>
  <c r="G50" i="3"/>
  <c r="H50" i="3"/>
  <c r="B51" i="3"/>
  <c r="D51" i="3"/>
  <c r="E51" i="3"/>
  <c r="F51" i="3"/>
  <c r="G51" i="3"/>
  <c r="H51" i="3"/>
  <c r="B52" i="3"/>
  <c r="D52" i="3"/>
  <c r="E52" i="3"/>
  <c r="F52" i="3"/>
  <c r="G52" i="3"/>
  <c r="H52" i="3"/>
  <c r="B53" i="3"/>
  <c r="D53" i="3"/>
  <c r="E53" i="3"/>
  <c r="F53" i="3"/>
  <c r="G53" i="3"/>
  <c r="H53" i="3"/>
  <c r="B54" i="3"/>
  <c r="D54" i="3"/>
  <c r="E54" i="3"/>
  <c r="F54" i="3"/>
  <c r="G54" i="3"/>
  <c r="H54" i="3"/>
  <c r="B55" i="3"/>
  <c r="D55" i="3"/>
  <c r="E55" i="3"/>
  <c r="F55" i="3"/>
  <c r="G55" i="3"/>
  <c r="H55" i="3"/>
  <c r="B56" i="3"/>
  <c r="D56" i="3"/>
  <c r="E56" i="3"/>
  <c r="F56" i="3"/>
  <c r="G56" i="3"/>
  <c r="H56" i="3"/>
  <c r="B57" i="3"/>
  <c r="D57" i="3"/>
  <c r="E57" i="3"/>
  <c r="F57" i="3"/>
  <c r="G57" i="3"/>
  <c r="H57" i="3"/>
  <c r="B58" i="3"/>
  <c r="D58" i="3"/>
  <c r="E58" i="3"/>
  <c r="F58" i="3"/>
  <c r="G58" i="3"/>
  <c r="H58" i="3"/>
  <c r="B59" i="3"/>
  <c r="D59" i="3"/>
  <c r="E59" i="3"/>
  <c r="F59" i="3"/>
  <c r="G59" i="3"/>
  <c r="H59" i="3"/>
  <c r="B60" i="3"/>
  <c r="D60" i="3"/>
  <c r="E60" i="3"/>
  <c r="F60" i="3"/>
  <c r="G60" i="3"/>
  <c r="H60" i="3"/>
  <c r="B61" i="3"/>
  <c r="D61" i="3"/>
  <c r="E61" i="3"/>
  <c r="F61" i="3"/>
  <c r="G61" i="3"/>
  <c r="H61" i="3"/>
  <c r="B62" i="3"/>
  <c r="D62" i="3"/>
  <c r="E62" i="3"/>
  <c r="F62" i="3"/>
  <c r="G62" i="3"/>
  <c r="H62" i="3"/>
  <c r="B63" i="3"/>
  <c r="D63" i="3"/>
  <c r="E63" i="3"/>
  <c r="F63" i="3"/>
  <c r="G63" i="3"/>
  <c r="H63" i="3"/>
  <c r="B64" i="3"/>
  <c r="D64" i="3"/>
  <c r="E64" i="3"/>
  <c r="F64" i="3"/>
  <c r="G64" i="3"/>
  <c r="H64" i="3"/>
  <c r="B65" i="3"/>
  <c r="D65" i="3"/>
  <c r="E65" i="3"/>
  <c r="F65" i="3"/>
  <c r="G65" i="3"/>
  <c r="H65" i="3"/>
  <c r="B66" i="3"/>
  <c r="D66" i="3"/>
  <c r="E66" i="3"/>
  <c r="F66" i="3"/>
  <c r="G66" i="3"/>
  <c r="H66" i="3"/>
  <c r="B67" i="3"/>
  <c r="D67" i="3"/>
  <c r="E67" i="3"/>
  <c r="F67" i="3"/>
  <c r="G67" i="3"/>
  <c r="H67" i="3"/>
  <c r="B68" i="3"/>
  <c r="D68" i="3"/>
  <c r="E68" i="3"/>
  <c r="F68" i="3"/>
  <c r="G68" i="3"/>
  <c r="H68" i="3"/>
  <c r="B69" i="3"/>
  <c r="D69" i="3"/>
  <c r="E69" i="3"/>
  <c r="F69" i="3"/>
  <c r="G69" i="3"/>
  <c r="H69" i="3"/>
  <c r="B70" i="3"/>
  <c r="D70" i="3"/>
  <c r="E70" i="3"/>
  <c r="F70" i="3"/>
  <c r="G70" i="3"/>
  <c r="H70" i="3"/>
  <c r="B71" i="3"/>
  <c r="D71" i="3"/>
  <c r="E71" i="3"/>
  <c r="F71" i="3"/>
  <c r="G71" i="3"/>
  <c r="H71" i="3"/>
  <c r="B72" i="3"/>
  <c r="D72" i="3"/>
  <c r="E72" i="3"/>
  <c r="F72" i="3"/>
  <c r="G72" i="3"/>
  <c r="H72" i="3"/>
  <c r="B73" i="3"/>
  <c r="D73" i="3"/>
  <c r="E73" i="3"/>
  <c r="F73" i="3"/>
  <c r="G73" i="3"/>
  <c r="H73" i="3"/>
  <c r="B74" i="3"/>
  <c r="D74" i="3"/>
  <c r="E74" i="3"/>
  <c r="F74" i="3"/>
  <c r="G74" i="3"/>
  <c r="H74" i="3"/>
  <c r="B75" i="3"/>
  <c r="D75" i="3"/>
  <c r="E75" i="3"/>
  <c r="F75" i="3"/>
  <c r="G75" i="3"/>
  <c r="H75" i="3"/>
  <c r="B76" i="3"/>
  <c r="D76" i="3"/>
  <c r="E76" i="3"/>
  <c r="F76" i="3"/>
  <c r="G76" i="3"/>
  <c r="H76" i="3"/>
  <c r="B77" i="3"/>
  <c r="D77" i="3"/>
  <c r="E77" i="3"/>
  <c r="F77" i="3"/>
  <c r="G77" i="3"/>
  <c r="H77" i="3"/>
  <c r="B78" i="3"/>
  <c r="D78" i="3"/>
  <c r="E78" i="3"/>
  <c r="F78" i="3"/>
  <c r="G78" i="3"/>
  <c r="H78" i="3"/>
  <c r="B79" i="3"/>
  <c r="D79" i="3"/>
  <c r="E79" i="3"/>
  <c r="F79" i="3"/>
  <c r="G79" i="3"/>
  <c r="H79" i="3"/>
  <c r="B80" i="3"/>
  <c r="D80" i="3"/>
  <c r="E80" i="3"/>
  <c r="F80" i="3"/>
  <c r="G80" i="3"/>
  <c r="H80" i="3"/>
  <c r="B81" i="3"/>
  <c r="D81" i="3"/>
  <c r="E81" i="3"/>
  <c r="F81" i="3"/>
  <c r="G81" i="3"/>
  <c r="H81" i="3"/>
  <c r="B82" i="3"/>
  <c r="D82" i="3"/>
  <c r="E82" i="3"/>
  <c r="F82" i="3"/>
  <c r="G82" i="3"/>
  <c r="H82" i="3"/>
  <c r="B83" i="3"/>
  <c r="D83" i="3"/>
  <c r="E83" i="3"/>
  <c r="F83" i="3"/>
  <c r="G83" i="3"/>
  <c r="H83" i="3"/>
  <c r="B84" i="3"/>
  <c r="D84" i="3"/>
  <c r="E84" i="3"/>
  <c r="F84" i="3"/>
  <c r="G84" i="3"/>
  <c r="H84" i="3"/>
  <c r="B85" i="3"/>
  <c r="D85" i="3"/>
  <c r="E85" i="3"/>
  <c r="F85" i="3"/>
  <c r="G85" i="3"/>
  <c r="H85" i="3"/>
  <c r="B86" i="3"/>
  <c r="D86" i="3"/>
  <c r="E86" i="3"/>
  <c r="F86" i="3"/>
  <c r="G86" i="3"/>
  <c r="H86" i="3"/>
  <c r="B87" i="3"/>
  <c r="D87" i="3"/>
  <c r="E87" i="3"/>
  <c r="F87" i="3"/>
  <c r="G87" i="3"/>
  <c r="H87" i="3"/>
  <c r="B88" i="3"/>
  <c r="D88" i="3"/>
  <c r="E88" i="3"/>
  <c r="F88" i="3"/>
  <c r="G88" i="3"/>
  <c r="H88" i="3"/>
  <c r="B89" i="3"/>
  <c r="D89" i="3"/>
  <c r="E89" i="3"/>
  <c r="F89" i="3"/>
  <c r="G89" i="3"/>
  <c r="H89" i="3"/>
  <c r="B90" i="3"/>
  <c r="D90" i="3"/>
  <c r="E90" i="3"/>
  <c r="F90" i="3"/>
  <c r="G90" i="3"/>
  <c r="H90" i="3"/>
  <c r="B91" i="3"/>
  <c r="D91" i="3"/>
  <c r="E91" i="3"/>
  <c r="F91" i="3"/>
  <c r="G91" i="3"/>
  <c r="H91" i="3"/>
  <c r="B92" i="3"/>
  <c r="D92" i="3"/>
  <c r="E92" i="3"/>
  <c r="F92" i="3"/>
  <c r="G92" i="3"/>
  <c r="H92" i="3"/>
  <c r="B93" i="3"/>
  <c r="D93" i="3"/>
  <c r="E93" i="3"/>
  <c r="F93" i="3"/>
  <c r="G93" i="3"/>
  <c r="H93" i="3"/>
  <c r="B94" i="3"/>
  <c r="D94" i="3"/>
  <c r="E94" i="3"/>
  <c r="F94" i="3"/>
  <c r="G94" i="3"/>
  <c r="H94" i="3"/>
  <c r="B95" i="3"/>
  <c r="D95" i="3"/>
  <c r="E95" i="3"/>
  <c r="F95" i="3"/>
  <c r="G95" i="3"/>
  <c r="H95" i="3"/>
  <c r="B96" i="3"/>
  <c r="D96" i="3"/>
  <c r="E96" i="3"/>
  <c r="F96" i="3"/>
  <c r="G96" i="3"/>
  <c r="H96" i="3"/>
  <c r="B97" i="3"/>
  <c r="D97" i="3"/>
  <c r="E97" i="3"/>
  <c r="F97" i="3"/>
  <c r="G97" i="3"/>
  <c r="H97" i="3"/>
  <c r="B98" i="3"/>
  <c r="D98" i="3"/>
  <c r="E98" i="3"/>
  <c r="F98" i="3"/>
  <c r="G98" i="3"/>
  <c r="H98" i="3"/>
  <c r="B99" i="3"/>
  <c r="D99" i="3"/>
  <c r="E99" i="3"/>
  <c r="F99" i="3"/>
  <c r="G99" i="3"/>
  <c r="H99" i="3"/>
  <c r="B100" i="3"/>
  <c r="D100" i="3"/>
  <c r="E100" i="3"/>
  <c r="F100" i="3"/>
  <c r="G100" i="3"/>
  <c r="H100" i="3"/>
  <c r="B101" i="3"/>
  <c r="D101" i="3"/>
  <c r="E101" i="3"/>
  <c r="F101" i="3"/>
  <c r="G101" i="3"/>
  <c r="H101" i="3"/>
  <c r="B102" i="3"/>
  <c r="D102" i="3"/>
  <c r="E102" i="3"/>
  <c r="F102" i="3"/>
  <c r="G102" i="3"/>
  <c r="H102" i="3"/>
  <c r="B103" i="3"/>
  <c r="D103" i="3"/>
  <c r="E103" i="3"/>
  <c r="F103" i="3"/>
  <c r="G103" i="3"/>
  <c r="H103" i="3"/>
  <c r="B104" i="3"/>
  <c r="D104" i="3"/>
  <c r="E104" i="3"/>
  <c r="F104" i="3"/>
  <c r="G104" i="3"/>
  <c r="H104" i="3"/>
  <c r="B105" i="3"/>
  <c r="D105" i="3"/>
  <c r="E105" i="3"/>
  <c r="F105" i="3"/>
  <c r="G105" i="3"/>
  <c r="H105" i="3"/>
  <c r="B106" i="3"/>
  <c r="D106" i="3"/>
  <c r="E106" i="3"/>
  <c r="F106" i="3"/>
  <c r="G106" i="3"/>
  <c r="H106" i="3"/>
  <c r="B107" i="3"/>
  <c r="D107" i="3"/>
  <c r="E107" i="3"/>
  <c r="F107" i="3"/>
  <c r="G107" i="3"/>
  <c r="H107" i="3"/>
  <c r="B108" i="3"/>
  <c r="D108" i="3"/>
  <c r="E108" i="3"/>
  <c r="F108" i="3"/>
  <c r="G108" i="3"/>
  <c r="H108" i="3"/>
  <c r="B109" i="3"/>
  <c r="D109" i="3"/>
  <c r="E109" i="3"/>
  <c r="F109" i="3"/>
  <c r="G109" i="3"/>
  <c r="H109" i="3"/>
  <c r="B110" i="3"/>
  <c r="D110" i="3"/>
  <c r="E110" i="3"/>
  <c r="F110" i="3"/>
  <c r="G110" i="3"/>
  <c r="H110" i="3"/>
  <c r="B111" i="3"/>
  <c r="D111" i="3"/>
  <c r="E111" i="3"/>
  <c r="F111" i="3"/>
  <c r="G111" i="3"/>
  <c r="H111" i="3"/>
  <c r="B112" i="3"/>
  <c r="D112" i="3"/>
  <c r="E112" i="3"/>
  <c r="F112" i="3"/>
  <c r="G112" i="3"/>
  <c r="H112" i="3"/>
  <c r="B113" i="3"/>
  <c r="D113" i="3"/>
  <c r="E113" i="3"/>
  <c r="F113" i="3"/>
  <c r="G113" i="3"/>
  <c r="H113" i="3"/>
  <c r="B114" i="3"/>
  <c r="D114" i="3"/>
  <c r="E114" i="3"/>
  <c r="F114" i="3"/>
  <c r="G114" i="3"/>
  <c r="H114" i="3"/>
  <c r="N4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P4" i="1"/>
  <c r="P5" i="1"/>
  <c r="N5" i="1" s="1"/>
  <c r="E5" i="3" s="1"/>
  <c r="P6" i="1"/>
  <c r="N6" i="1" s="1"/>
  <c r="P7" i="1"/>
  <c r="N7" i="1" s="1"/>
  <c r="E6" i="3" s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B31" i="5"/>
  <c r="D31" i="5"/>
  <c r="E31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15" i="3" l="1"/>
  <c r="I14" i="3"/>
  <c r="I79" i="3"/>
  <c r="I71" i="3"/>
  <c r="I31" i="3"/>
  <c r="I23" i="3"/>
  <c r="I73" i="3"/>
  <c r="I9" i="3"/>
  <c r="I5" i="3"/>
  <c r="I108" i="3"/>
  <c r="I47" i="3"/>
  <c r="I43" i="3"/>
  <c r="I39" i="3"/>
  <c r="I110" i="3"/>
  <c r="I90" i="3"/>
  <c r="I107" i="3"/>
  <c r="I87" i="3"/>
  <c r="I26" i="3"/>
  <c r="I95" i="3"/>
  <c r="I63" i="3"/>
  <c r="I60" i="3"/>
  <c r="I61" i="3"/>
  <c r="I78" i="3"/>
  <c r="I102" i="3"/>
  <c r="I4" i="3"/>
  <c r="I55" i="3"/>
  <c r="I48" i="3"/>
  <c r="I112" i="3"/>
  <c r="I52" i="3"/>
  <c r="I35" i="3"/>
  <c r="I109" i="3"/>
  <c r="I91" i="3"/>
  <c r="I74" i="3"/>
  <c r="I57" i="3"/>
  <c r="I32" i="3"/>
  <c r="I88" i="3"/>
  <c r="I36" i="3"/>
  <c r="I24" i="3"/>
  <c r="I105" i="3"/>
  <c r="I93" i="3"/>
  <c r="I92" i="3"/>
  <c r="I80" i="3"/>
  <c r="I75" i="3"/>
  <c r="I58" i="3"/>
  <c r="I46" i="3"/>
  <c r="I41" i="3"/>
  <c r="I29" i="3"/>
  <c r="I28" i="3"/>
  <c r="I16" i="3"/>
  <c r="I7" i="3"/>
  <c r="I99" i="3"/>
  <c r="I82" i="3"/>
  <c r="I65" i="3"/>
  <c r="I40" i="3"/>
  <c r="I45" i="3"/>
  <c r="I27" i="3"/>
  <c r="I10" i="3"/>
  <c r="I101" i="3"/>
  <c r="I66" i="3"/>
  <c r="I19" i="3"/>
  <c r="I85" i="3"/>
  <c r="I84" i="3"/>
  <c r="I72" i="3"/>
  <c r="I67" i="3"/>
  <c r="I50" i="3"/>
  <c r="I38" i="3"/>
  <c r="I33" i="3"/>
  <c r="I21" i="3"/>
  <c r="I20" i="3"/>
  <c r="I18" i="3"/>
  <c r="I104" i="3"/>
  <c r="I113" i="3"/>
  <c r="I83" i="3"/>
  <c r="I54" i="3"/>
  <c r="I114" i="3"/>
  <c r="I111" i="3"/>
  <c r="I106" i="3"/>
  <c r="I94" i="3"/>
  <c r="I89" i="3"/>
  <c r="I77" i="3"/>
  <c r="I76" i="3"/>
  <c r="I64" i="3"/>
  <c r="I59" i="3"/>
  <c r="I42" i="3"/>
  <c r="I30" i="3"/>
  <c r="I25" i="3"/>
  <c r="I13" i="3"/>
  <c r="I12" i="3"/>
  <c r="I8" i="3"/>
  <c r="I3" i="3"/>
  <c r="I100" i="3"/>
  <c r="I70" i="3"/>
  <c r="I53" i="3"/>
  <c r="I96" i="3"/>
  <c r="I62" i="3"/>
  <c r="I44" i="3"/>
  <c r="I49" i="3"/>
  <c r="I37" i="3"/>
  <c r="I103" i="3"/>
  <c r="I98" i="3"/>
  <c r="I86" i="3"/>
  <c r="I81" i="3"/>
  <c r="I69" i="3"/>
  <c r="I68" i="3"/>
  <c r="I56" i="3"/>
  <c r="I51" i="3"/>
  <c r="I34" i="3"/>
  <c r="I22" i="3"/>
  <c r="I17" i="3"/>
  <c r="I11" i="3"/>
  <c r="F31" i="5"/>
  <c r="H31" i="5" s="1"/>
  <c r="P3" i="1" l="1"/>
  <c r="N3" i="1" s="1"/>
  <c r="F3" i="1" l="1"/>
  <c r="U30" i="1" l="1"/>
  <c r="U26" i="1"/>
  <c r="U27" i="1"/>
  <c r="C32" i="5"/>
  <c r="U19" i="1" s="1"/>
  <c r="V19" i="1" s="1"/>
  <c r="V27" i="1" l="1"/>
  <c r="V26" i="1"/>
  <c r="U31" i="1"/>
  <c r="U32" i="1" l="1"/>
  <c r="U21" i="1" l="1"/>
  <c r="D30" i="5"/>
  <c r="E30" i="5"/>
  <c r="F30" i="5" l="1"/>
  <c r="H30" i="5" s="1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D24" i="6" l="1"/>
  <c r="U36" i="1" l="1"/>
  <c r="U11" i="1" l="1"/>
  <c r="U14" i="1" l="1"/>
  <c r="T61" i="1" l="1"/>
  <c r="N3" i="7" l="1"/>
  <c r="H5" i="8" l="1"/>
  <c r="J5" i="8" s="1"/>
  <c r="H4" i="8"/>
  <c r="J4" i="8" s="1"/>
  <c r="H3" i="8"/>
  <c r="R3" i="1"/>
  <c r="R4" i="1"/>
  <c r="R5" i="1"/>
  <c r="O9" i="8"/>
  <c r="O4" i="8"/>
  <c r="H6" i="8"/>
  <c r="J6" i="8" s="1"/>
  <c r="H7" i="8"/>
  <c r="J7" i="8" s="1"/>
  <c r="H8" i="8"/>
  <c r="J8" i="8" s="1"/>
  <c r="H9" i="8"/>
  <c r="H10" i="8"/>
  <c r="K10" i="8" s="1"/>
  <c r="H11" i="8"/>
  <c r="K11" i="8" s="1"/>
  <c r="H12" i="8"/>
  <c r="H13" i="8"/>
  <c r="J13" i="8" s="1"/>
  <c r="H14" i="8"/>
  <c r="J14" i="8" s="1"/>
  <c r="J3" i="8" l="1"/>
  <c r="H6" i="3"/>
  <c r="I6" i="3" s="1"/>
  <c r="U23" i="1"/>
  <c r="K9" i="8"/>
  <c r="I9" i="8"/>
  <c r="I6" i="8"/>
  <c r="I8" i="8"/>
  <c r="I14" i="8"/>
  <c r="I13" i="8"/>
  <c r="I7" i="8"/>
  <c r="J12" i="8"/>
  <c r="I5" i="8"/>
  <c r="J9" i="8"/>
  <c r="K13" i="8"/>
  <c r="K12" i="8"/>
  <c r="J10" i="8"/>
  <c r="J11" i="8"/>
  <c r="K5" i="8"/>
  <c r="K4" i="8"/>
  <c r="K8" i="8"/>
  <c r="K7" i="8"/>
  <c r="K14" i="8"/>
  <c r="K6" i="8"/>
  <c r="I3" i="8"/>
  <c r="K3" i="8"/>
  <c r="I4" i="8"/>
  <c r="I11" i="8"/>
  <c r="I12" i="8"/>
  <c r="I10" i="8"/>
  <c r="AA25" i="1" l="1"/>
  <c r="D31" i="6" l="1"/>
  <c r="D30" i="6"/>
  <c r="E30" i="6" l="1"/>
  <c r="H30" i="6" s="1"/>
  <c r="E31" i="6"/>
  <c r="H31" i="6" s="1"/>
  <c r="N10" i="7" l="1"/>
  <c r="N4" i="7"/>
  <c r="N9" i="7" l="1"/>
  <c r="Z3" i="1" l="1"/>
  <c r="AB3" i="1"/>
  <c r="Z4" i="1"/>
  <c r="Z5" i="1"/>
  <c r="Z8" i="1"/>
  <c r="Z10" i="1"/>
  <c r="AD13" i="1"/>
  <c r="Z15" i="1" s="1"/>
  <c r="AE13" i="1"/>
  <c r="Z17" i="1"/>
  <c r="Z18" i="1"/>
  <c r="Z19" i="1"/>
  <c r="Z20" i="1"/>
  <c r="Z25" i="1"/>
  <c r="Z26" i="1"/>
  <c r="AA26" i="1"/>
  <c r="Z27" i="1"/>
  <c r="AA27" i="1"/>
  <c r="Z28" i="1"/>
  <c r="AA28" i="1"/>
  <c r="Z29" i="1"/>
  <c r="AA29" i="1"/>
  <c r="Z32" i="1"/>
  <c r="AA32" i="1"/>
  <c r="AB32" i="1"/>
  <c r="Z33" i="1"/>
  <c r="AA33" i="1"/>
  <c r="AB33" i="1"/>
  <c r="AD42" i="1" s="1"/>
  <c r="U20" i="1"/>
  <c r="Z35" i="1"/>
  <c r="AA35" i="1"/>
  <c r="AB35" i="1"/>
  <c r="AD43" i="1" s="1"/>
  <c r="Z36" i="1"/>
  <c r="AA36" i="1"/>
  <c r="AB36" i="1"/>
  <c r="Z37" i="1"/>
  <c r="AA37" i="1"/>
  <c r="AB37" i="1"/>
  <c r="AD44" i="1" s="1"/>
  <c r="V7" i="1" l="1"/>
  <c r="AA13" i="1"/>
  <c r="Z14" i="1"/>
  <c r="Z13" i="1"/>
  <c r="Z16" i="1"/>
  <c r="N5" i="7"/>
  <c r="Z9" i="1" l="1"/>
  <c r="V8" i="1" s="1"/>
  <c r="V11" i="1" s="1"/>
  <c r="E11" i="6" l="1"/>
  <c r="E4" i="6" l="1"/>
  <c r="E5" i="6"/>
  <c r="E6" i="6"/>
  <c r="E7" i="6"/>
  <c r="E8" i="6"/>
  <c r="E9" i="6"/>
  <c r="E10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5" i="6"/>
  <c r="D26" i="6"/>
  <c r="D27" i="6"/>
  <c r="D28" i="6"/>
  <c r="D29" i="6"/>
  <c r="H23" i="6" l="1"/>
  <c r="H22" i="6"/>
  <c r="H24" i="6"/>
  <c r="H21" i="6"/>
  <c r="Q3" i="8" l="1"/>
  <c r="E17" i="5" l="1"/>
  <c r="O10" i="8"/>
  <c r="H29" i="6" l="1"/>
  <c r="H28" i="6" l="1"/>
  <c r="B3" i="6" l="1"/>
  <c r="B3" i="5" l="1"/>
  <c r="H27" i="6" l="1"/>
  <c r="E11" i="5"/>
  <c r="H26" i="6" l="1"/>
  <c r="E3" i="5" l="1"/>
  <c r="E13" i="5"/>
  <c r="E19" i="5"/>
  <c r="E4" i="5"/>
  <c r="E5" i="5"/>
  <c r="E21" i="5"/>
  <c r="E23" i="5"/>
  <c r="E29" i="5"/>
  <c r="E8" i="5"/>
  <c r="E16" i="5"/>
  <c r="E24" i="5"/>
  <c r="E27" i="5"/>
  <c r="E22" i="5"/>
  <c r="E9" i="5"/>
  <c r="E10" i="5"/>
  <c r="E28" i="5"/>
  <c r="D20" i="5" l="1"/>
  <c r="D3" i="5"/>
  <c r="D11" i="5"/>
  <c r="F11" i="5" s="1"/>
  <c r="D19" i="5"/>
  <c r="F19" i="5" s="1"/>
  <c r="D27" i="5"/>
  <c r="F27" i="5" s="1"/>
  <c r="H27" i="5" s="1"/>
  <c r="D4" i="5"/>
  <c r="F4" i="5" s="1"/>
  <c r="D12" i="5"/>
  <c r="D28" i="5"/>
  <c r="F28" i="5" s="1"/>
  <c r="H28" i="5" s="1"/>
  <c r="D22" i="5"/>
  <c r="F22" i="5" s="1"/>
  <c r="D5" i="5"/>
  <c r="Z44" i="1" s="1"/>
  <c r="D13" i="5"/>
  <c r="F13" i="5" s="1"/>
  <c r="D21" i="5"/>
  <c r="D29" i="5"/>
  <c r="F29" i="5" s="1"/>
  <c r="D6" i="5"/>
  <c r="D14" i="5"/>
  <c r="D7" i="5"/>
  <c r="D15" i="5"/>
  <c r="D23" i="5"/>
  <c r="F23" i="5" s="1"/>
  <c r="D8" i="5"/>
  <c r="F8" i="5" s="1"/>
  <c r="D16" i="5"/>
  <c r="F16" i="5" s="1"/>
  <c r="D24" i="5"/>
  <c r="F24" i="5" s="1"/>
  <c r="D9" i="5"/>
  <c r="F9" i="5" s="1"/>
  <c r="D17" i="5"/>
  <c r="F17" i="5" s="1"/>
  <c r="D25" i="5"/>
  <c r="D10" i="5"/>
  <c r="D18" i="5"/>
  <c r="D26" i="5"/>
  <c r="F21" i="5" l="1"/>
  <c r="H21" i="5" s="1"/>
  <c r="Z45" i="1"/>
  <c r="Z42" i="1"/>
  <c r="AB42" i="1" s="1"/>
  <c r="AC42" i="1" s="1"/>
  <c r="F10" i="5"/>
  <c r="Z43" i="1"/>
  <c r="F5" i="5"/>
  <c r="AB44" i="1"/>
  <c r="AC44" i="1" s="1"/>
  <c r="AE44" i="1" s="1"/>
  <c r="F3" i="5"/>
  <c r="H13" i="5"/>
  <c r="H4" i="5"/>
  <c r="H22" i="5"/>
  <c r="H24" i="5"/>
  <c r="H16" i="5"/>
  <c r="H29" i="5"/>
  <c r="H23" i="5"/>
  <c r="H19" i="5"/>
  <c r="AE42" i="1" l="1"/>
  <c r="AF42" i="1"/>
  <c r="E18" i="5"/>
  <c r="F18" i="5" s="1"/>
  <c r="H18" i="5" l="1"/>
  <c r="E15" i="5"/>
  <c r="F15" i="5" s="1"/>
  <c r="E3" i="6"/>
  <c r="O3" i="7" l="1"/>
  <c r="P3" i="7" s="1"/>
  <c r="H15" i="5"/>
  <c r="H25" i="6"/>
  <c r="O10" i="7"/>
  <c r="P10" i="7" s="1"/>
  <c r="E7" i="5"/>
  <c r="F7" i="5" s="1"/>
  <c r="E12" i="5" l="1"/>
  <c r="F12" i="5" s="1"/>
  <c r="H7" i="5" l="1"/>
  <c r="H17" i="5"/>
  <c r="E20" i="5" l="1"/>
  <c r="F20" i="5" s="1"/>
  <c r="E26" i="5"/>
  <c r="F26" i="5" s="1"/>
  <c r="H3" i="5"/>
  <c r="H26" i="5" l="1"/>
  <c r="H20" i="5"/>
  <c r="E25" i="5"/>
  <c r="F25" i="5" s="1"/>
  <c r="E6" i="5"/>
  <c r="E14" i="5"/>
  <c r="F14" i="5" s="1"/>
  <c r="F6" i="5" l="1"/>
  <c r="F32" i="5" s="1"/>
  <c r="U8" i="1"/>
  <c r="H14" i="5"/>
  <c r="H25" i="5"/>
  <c r="H12" i="5"/>
  <c r="H5" i="5"/>
  <c r="H8" i="5"/>
  <c r="H10" i="5"/>
  <c r="H9" i="5"/>
  <c r="H11" i="5"/>
  <c r="E32" i="5"/>
  <c r="W8" i="1" l="1"/>
  <c r="H6" i="5"/>
  <c r="D3" i="6" l="1"/>
  <c r="O4" i="7" l="1"/>
  <c r="P4" i="7" s="1"/>
  <c r="H7" i="6"/>
  <c r="H4" i="6"/>
  <c r="H17" i="6"/>
  <c r="H8" i="6"/>
  <c r="H6" i="6"/>
  <c r="H16" i="6"/>
  <c r="H14" i="6"/>
  <c r="H3" i="6"/>
  <c r="H13" i="6"/>
  <c r="H19" i="6"/>
  <c r="H10" i="6"/>
  <c r="H18" i="6"/>
  <c r="H12" i="6"/>
  <c r="H11" i="6"/>
  <c r="H20" i="6"/>
  <c r="H15" i="6"/>
  <c r="H9" i="6"/>
  <c r="D32" i="6"/>
  <c r="O9" i="7" s="1"/>
  <c r="P9" i="7" s="1"/>
  <c r="H5" i="6"/>
  <c r="F32" i="6" l="1"/>
  <c r="U7" i="1" l="1"/>
  <c r="AB43" i="1"/>
  <c r="V36" i="1"/>
  <c r="V37" i="1" s="1"/>
  <c r="W37" i="1" s="1"/>
  <c r="W38" i="1" s="1"/>
  <c r="D32" i="5"/>
  <c r="W7" i="1" l="1"/>
  <c r="AC43" i="1"/>
  <c r="AE43" i="1" l="1"/>
  <c r="AF43" i="1"/>
  <c r="U15" i="1" l="1"/>
  <c r="U17" i="1" s="1"/>
  <c r="V17" i="1" s="1"/>
  <c r="V3" i="1"/>
  <c r="W15" i="1"/>
  <c r="U3" i="1" l="1"/>
  <c r="V14" i="1"/>
  <c r="W11" i="1"/>
  <c r="W14" i="1"/>
  <c r="V21" i="1" l="1"/>
  <c r="W3" i="1"/>
  <c r="T59" i="1" l="1"/>
  <c r="O3" i="8" l="1"/>
  <c r="P3" i="8" l="1"/>
  <c r="R3" i="8" s="1"/>
  <c r="U28" i="1" l="1"/>
  <c r="V28" i="1" s="1"/>
  <c r="V29" i="1" s="1"/>
  <c r="V4" i="1"/>
  <c r="U4" i="1"/>
  <c r="V20" i="1"/>
  <c r="V15" i="1"/>
  <c r="W4" i="1" l="1"/>
  <c r="U29" i="1"/>
  <c r="U33" i="1" s="1"/>
  <c r="V16" i="1"/>
  <c r="W17" i="1" s="1"/>
  <c r="U24" i="1" l="1"/>
  <c r="V23" i="1" s="1"/>
  <c r="T60" i="1"/>
</calcChain>
</file>

<file path=xl/sharedStrings.xml><?xml version="1.0" encoding="utf-8"?>
<sst xmlns="http://schemas.openxmlformats.org/spreadsheetml/2006/main" count="325" uniqueCount="230">
  <si>
    <t>FECHA</t>
  </si>
  <si>
    <t>MONEDA</t>
  </si>
  <si>
    <t>CLIENTE</t>
  </si>
  <si>
    <t>EMISOR</t>
  </si>
  <si>
    <t>ORIGEN</t>
  </si>
  <si>
    <t>DOLARES</t>
  </si>
  <si>
    <t>TASA</t>
  </si>
  <si>
    <t>COMISION</t>
  </si>
  <si>
    <t>REF</t>
  </si>
  <si>
    <t>DESTINO</t>
  </si>
  <si>
    <t>RECEPTOR</t>
  </si>
  <si>
    <t>DOLARES2</t>
  </si>
  <si>
    <t>TASA2</t>
  </si>
  <si>
    <t>BOLIVARES2</t>
  </si>
  <si>
    <t>BOLIVARES1</t>
  </si>
  <si>
    <t>BANCOS</t>
  </si>
  <si>
    <t>CLIENTES</t>
  </si>
  <si>
    <t>PLATAFORMAS</t>
  </si>
  <si>
    <t>MONEDAS</t>
  </si>
  <si>
    <t>ANA KARINA MORENO</t>
  </si>
  <si>
    <t>KAROL MALDONADO</t>
  </si>
  <si>
    <t>YENSI RIOS</t>
  </si>
  <si>
    <t>MIGUEL RAMONES</t>
  </si>
  <si>
    <t>REMODELACION</t>
  </si>
  <si>
    <t>GASTOS</t>
  </si>
  <si>
    <t>OTROS</t>
  </si>
  <si>
    <t>BS</t>
  </si>
  <si>
    <t xml:space="preserve">CASH </t>
  </si>
  <si>
    <t xml:space="preserve">PANAMA </t>
  </si>
  <si>
    <t xml:space="preserve">ZINLI </t>
  </si>
  <si>
    <t xml:space="preserve">EUROS </t>
  </si>
  <si>
    <t xml:space="preserve">USDT </t>
  </si>
  <si>
    <t xml:space="preserve">BOFA </t>
  </si>
  <si>
    <t>ZELLE</t>
  </si>
  <si>
    <t>ORIGEN2</t>
  </si>
  <si>
    <t>BANCO 53</t>
  </si>
  <si>
    <t>BNB EVE</t>
  </si>
  <si>
    <t>BNB JOHA</t>
  </si>
  <si>
    <t xml:space="preserve">BNB KAROL </t>
  </si>
  <si>
    <t>BOFA IG</t>
  </si>
  <si>
    <t>TRUIST BANK</t>
  </si>
  <si>
    <t>ZINLI EVE</t>
  </si>
  <si>
    <t>ZINLI JOHA</t>
  </si>
  <si>
    <t>EMISOR2</t>
  </si>
  <si>
    <t>MONTO</t>
  </si>
  <si>
    <t>MONTO2</t>
  </si>
  <si>
    <t>ACUMULADO</t>
  </si>
  <si>
    <t>SALDO</t>
  </si>
  <si>
    <t>PAGO</t>
  </si>
  <si>
    <t>COMPRA</t>
  </si>
  <si>
    <t>VENTA</t>
  </si>
  <si>
    <t>RETIRO</t>
  </si>
  <si>
    <t>INGRESO</t>
  </si>
  <si>
    <t>EGRESO</t>
  </si>
  <si>
    <t>DISPONIBLE</t>
  </si>
  <si>
    <t>DIFERENCIA</t>
  </si>
  <si>
    <t>INGRESOS</t>
  </si>
  <si>
    <t>EGRESOS</t>
  </si>
  <si>
    <t>OPERATIVOS</t>
  </si>
  <si>
    <t>ZINLI KAROL</t>
  </si>
  <si>
    <t>REMITENTE</t>
  </si>
  <si>
    <t>CAMBIO</t>
  </si>
  <si>
    <t>CAMBIOS</t>
  </si>
  <si>
    <t>EUR/USD</t>
  </si>
  <si>
    <t>USD/EUR</t>
  </si>
  <si>
    <t xml:space="preserve">RECIBIDO </t>
  </si>
  <si>
    <t xml:space="preserve">ENVIAR </t>
  </si>
  <si>
    <t>PORCENTAJE</t>
  </si>
  <si>
    <t>PY/CASH</t>
  </si>
  <si>
    <t>CASH/PY</t>
  </si>
  <si>
    <t>USDT/CASH</t>
  </si>
  <si>
    <t>CASH/USDT</t>
  </si>
  <si>
    <t>ZELLE/CASH</t>
  </si>
  <si>
    <t>USDT/EUR</t>
  </si>
  <si>
    <t>USDT/ZELLE</t>
  </si>
  <si>
    <t>EUR/ZELLE</t>
  </si>
  <si>
    <t>DESCRIPCION</t>
  </si>
  <si>
    <t>PRESTAMO</t>
  </si>
  <si>
    <t>COMISION SARAH</t>
  </si>
  <si>
    <t>COMISION KAROL</t>
  </si>
  <si>
    <t>COMPRADO</t>
  </si>
  <si>
    <t>VENDIDO</t>
  </si>
  <si>
    <t>VERIFICADOR DE USD X BOLIVARES</t>
  </si>
  <si>
    <t>VERIFICADOR DE USD</t>
  </si>
  <si>
    <t>SOLIICTANTES</t>
  </si>
  <si>
    <t>EGRESOS POR GASTOS</t>
  </si>
  <si>
    <t>DISTRIBUCION DE LOS GASTOS</t>
  </si>
  <si>
    <t>DISTRIBUCION DE LOS EGRESOS</t>
  </si>
  <si>
    <t xml:space="preserve">NOMINA </t>
  </si>
  <si>
    <t xml:space="preserve">COMISIONES </t>
  </si>
  <si>
    <t>CONTRATACION DE SERVICIOS</t>
  </si>
  <si>
    <t>CARRERAS</t>
  </si>
  <si>
    <t>IMPUESTOS</t>
  </si>
  <si>
    <t>PERDIDAS</t>
  </si>
  <si>
    <t xml:space="preserve">PERDIDA </t>
  </si>
  <si>
    <t xml:space="preserve">DISTRIBUCION DE LA NOMINA </t>
  </si>
  <si>
    <t>SARAH ALVAREZ</t>
  </si>
  <si>
    <t xml:space="preserve">YENSI RIOS </t>
  </si>
  <si>
    <t>SERGIO LOPEZ</t>
  </si>
  <si>
    <t>EDUARD OCHOA</t>
  </si>
  <si>
    <t>DISTRIBUCION DE LAS COMISIONES</t>
  </si>
  <si>
    <t>DISTRIBUCION DE LOS INGRESOS</t>
  </si>
  <si>
    <t>INGRESOS PARA PAGO DE GASTOS</t>
  </si>
  <si>
    <t>INGRESOS POR PAGO DE INTERESES</t>
  </si>
  <si>
    <t>USD</t>
  </si>
  <si>
    <t>ZINLI/CASH</t>
  </si>
  <si>
    <t>OBSERVACION</t>
  </si>
  <si>
    <t xml:space="preserve">USD RECIBIDO </t>
  </si>
  <si>
    <t>ENVIOS BS DE CLIENTES A CLIENTES</t>
  </si>
  <si>
    <t>EGRESOS POR COMPRAS</t>
  </si>
  <si>
    <t>INGRESOS POR VENTAS</t>
  </si>
  <si>
    <t>COMISIONES POR PAGO MOVIL</t>
  </si>
  <si>
    <t>COMPRAS DIRECTAS</t>
  </si>
  <si>
    <t>ALQUILER</t>
  </si>
  <si>
    <t>ALQUILER KAROL</t>
  </si>
  <si>
    <t>ALQUILER SARAH</t>
  </si>
  <si>
    <t>CASH SARAH</t>
  </si>
  <si>
    <t>EUR/CASH</t>
  </si>
  <si>
    <t>USD PAGADO</t>
  </si>
  <si>
    <t>USD PAGADO CLIENTES</t>
  </si>
  <si>
    <t>FACEBANK</t>
  </si>
  <si>
    <t>RECIBIDOS EN BANCOS</t>
  </si>
  <si>
    <t>ENVIADO DESDE BANCOS</t>
  </si>
  <si>
    <t>VERIFICADOR DE BOLIVARES EN BANCOS</t>
  </si>
  <si>
    <t>MOVIMIENTOS INTERNOS</t>
  </si>
  <si>
    <t>VERIFICADOR DE BOLIVARES TOTALES</t>
  </si>
  <si>
    <t>TOTAL INGRESOS</t>
  </si>
  <si>
    <t>TOTAL EGRESOS</t>
  </si>
  <si>
    <t>OBSERVACIONES</t>
  </si>
  <si>
    <t>TRUST WALLET II</t>
  </si>
  <si>
    <t>TRUST WALLET III</t>
  </si>
  <si>
    <t>TRUST WALLET I</t>
  </si>
  <si>
    <t xml:space="preserve">BANPA EVE </t>
  </si>
  <si>
    <t>BANPA KAROL</t>
  </si>
  <si>
    <t>BANPA JOHA</t>
  </si>
  <si>
    <t>MERCAPY KAROL</t>
  </si>
  <si>
    <t>MERCAPY EVE</t>
  </si>
  <si>
    <t>COMISIONES RECIBIDAS</t>
  </si>
  <si>
    <t>BEATRIZ TORREALBA</t>
  </si>
  <si>
    <t>GASTOS OPERATIVOS</t>
  </si>
  <si>
    <t>COMISIONES POR PM</t>
  </si>
  <si>
    <t>TRX</t>
  </si>
  <si>
    <t>COSTOS DE ENVÍO</t>
  </si>
  <si>
    <t>COMPRA TRON</t>
  </si>
  <si>
    <t>DISPONIBLE EN TRON</t>
  </si>
  <si>
    <t>AHORRO</t>
  </si>
  <si>
    <t>EUROS CASH SARAH</t>
  </si>
  <si>
    <t>VERIFICADOR DE PLATAFORMAS</t>
  </si>
  <si>
    <t>TRUST WALLET ETH</t>
  </si>
  <si>
    <t>BNB SARAH</t>
  </si>
  <si>
    <t>TRUST WALLET IV</t>
  </si>
  <si>
    <t>RECEPTOR2</t>
  </si>
  <si>
    <t>GANANCIA REAL</t>
  </si>
  <si>
    <t>% REAL</t>
  </si>
  <si>
    <t>COSTOS DE ENVIOS</t>
  </si>
  <si>
    <t>CASH GUILLERMO</t>
  </si>
  <si>
    <t>REMANENTE</t>
  </si>
  <si>
    <t>GANANCIA DIRECTA</t>
  </si>
  <si>
    <t xml:space="preserve">PROMEDIO DE COMPRAS A CLIENTES </t>
  </si>
  <si>
    <t>DOLARES COMPRADOS DE BANCOS</t>
  </si>
  <si>
    <t>CASH YENSY</t>
  </si>
  <si>
    <t>CASH TINTORERIA</t>
  </si>
  <si>
    <t>ZELLE ITSIA</t>
  </si>
  <si>
    <t>BANPA BELKIS</t>
  </si>
  <si>
    <t>CASH BELKIS</t>
  </si>
  <si>
    <t>EUR BELKIS</t>
  </si>
  <si>
    <t>BANCARIBE EVE</t>
  </si>
  <si>
    <t>BAN ALE</t>
  </si>
  <si>
    <t>BAN BEA</t>
  </si>
  <si>
    <t>BAN ANA K</t>
  </si>
  <si>
    <t xml:space="preserve">BAN BEL </t>
  </si>
  <si>
    <t>BAN EVE</t>
  </si>
  <si>
    <t>BAN JOH</t>
  </si>
  <si>
    <t>BAN KAR</t>
  </si>
  <si>
    <t>BAN SAR</t>
  </si>
  <si>
    <t>MERC BEL</t>
  </si>
  <si>
    <t>MERC EVE</t>
  </si>
  <si>
    <t>MERC JOH</t>
  </si>
  <si>
    <t>MERC KAR</t>
  </si>
  <si>
    <t>MER SAR</t>
  </si>
  <si>
    <t>PROV EVE</t>
  </si>
  <si>
    <t>PROV JOH</t>
  </si>
  <si>
    <t>PROV KAR</t>
  </si>
  <si>
    <t>PROV SAR</t>
  </si>
  <si>
    <t>VZLA ALE</t>
  </si>
  <si>
    <t>VZLA ANA K</t>
  </si>
  <si>
    <t>VZLA EVE</t>
  </si>
  <si>
    <t>VZLA JHAS</t>
  </si>
  <si>
    <t>VZLA JOHA</t>
  </si>
  <si>
    <t>VZLA KAR</t>
  </si>
  <si>
    <t>VZLA SAR</t>
  </si>
  <si>
    <t>NOMINA KAROL</t>
  </si>
  <si>
    <t>NOMINA SARAH</t>
  </si>
  <si>
    <t>NOMINA SERGIO</t>
  </si>
  <si>
    <t>NOMINA YENSI</t>
  </si>
  <si>
    <t>GRUPO</t>
  </si>
  <si>
    <t>GRUPO A</t>
  </si>
  <si>
    <t>TIPO</t>
  </si>
  <si>
    <t>COMPRAS C2C</t>
  </si>
  <si>
    <t>COMPRAS N2C</t>
  </si>
  <si>
    <t>VENTA A CUENTAS</t>
  </si>
  <si>
    <t>DOLARES VENDIDOS PARA TRABAJAR</t>
  </si>
  <si>
    <t xml:space="preserve">USD COMPRADOS </t>
  </si>
  <si>
    <t>DIF</t>
  </si>
  <si>
    <t>BS USADOS</t>
  </si>
  <si>
    <t>COMPRAR</t>
  </si>
  <si>
    <t>GANANCIA</t>
  </si>
  <si>
    <t xml:space="preserve"> -   </t>
  </si>
  <si>
    <t xml:space="preserve"> </t>
  </si>
  <si>
    <t>BANCA MANUEL</t>
  </si>
  <si>
    <t>BANCA KAR</t>
  </si>
  <si>
    <t>BANCA EVE</t>
  </si>
  <si>
    <t>VZLA BEL</t>
  </si>
  <si>
    <t>5271</t>
  </si>
  <si>
    <t>8505</t>
  </si>
  <si>
    <t>MONEDA2</t>
  </si>
  <si>
    <t>EVELIO RAMIREZ</t>
  </si>
  <si>
    <t>JOHANA RODRIGUEZ</t>
  </si>
  <si>
    <t xml:space="preserve">KAROL MALDONADO </t>
  </si>
  <si>
    <t>PENDIENTE</t>
  </si>
  <si>
    <t>MOTO</t>
  </si>
  <si>
    <t>TINTORERIA</t>
  </si>
  <si>
    <t>PANAMA</t>
  </si>
  <si>
    <t>EUROS</t>
  </si>
  <si>
    <t>CASH</t>
  </si>
  <si>
    <t>CASH/EUR</t>
  </si>
  <si>
    <t>EUR</t>
  </si>
  <si>
    <t>9530</t>
  </si>
  <si>
    <t>9645</t>
  </si>
  <si>
    <t>9874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</si>
</sst>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0" tint="-4.9989318521683403E-2"/>
      <name val="Calibri"/>
      <family val="2"/>
      <scheme val="minor"/>
    </font>
    <font>
      <u val="singleAccounting"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43" fontId="0" fillId="0" borderId="0" xfId="1" applyFont="1"/>
    <xf numFmtId="43" fontId="0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43" fontId="4" fillId="0" borderId="0" xfId="1" applyFon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0" xfId="1" applyFont="1" applyFill="1" applyAlignment="1">
      <alignment horizontal="center"/>
    </xf>
    <xf numFmtId="43" fontId="0" fillId="0" borderId="0" xfId="1" applyFont="1" applyFill="1"/>
    <xf numFmtId="43" fontId="0" fillId="2" borderId="0" xfId="0" applyNumberFormat="1" applyFill="1" applyAlignment="1">
      <alignment horizontal="center"/>
    </xf>
    <xf numFmtId="43" fontId="0" fillId="0" borderId="0" xfId="0" applyNumberFormat="1"/>
    <xf numFmtId="14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43" fontId="4" fillId="0" borderId="0" xfId="1" applyFont="1" applyFill="1" applyAlignment="1">
      <alignment horizontal="center" vertical="center"/>
    </xf>
    <xf numFmtId="0" fontId="6" fillId="0" borderId="0" xfId="0" applyFont="1"/>
    <xf numFmtId="0" fontId="6" fillId="4" borderId="0" xfId="0" applyFont="1" applyFill="1" applyAlignment="1">
      <alignment horizontal="center"/>
    </xf>
    <xf numFmtId="0" fontId="6" fillId="4" borderId="0" xfId="0" applyFont="1" applyFill="1"/>
    <xf numFmtId="43" fontId="0" fillId="2" borderId="0" xfId="0" applyNumberFormat="1" applyFill="1"/>
    <xf numFmtId="0" fontId="6" fillId="0" borderId="0" xfId="0" applyFont="1" applyAlignment="1">
      <alignment horizontal="center"/>
    </xf>
    <xf numFmtId="0" fontId="0" fillId="0" borderId="0" xfId="1" applyNumberFormat="1" applyFont="1" applyAlignment="1">
      <alignment horizontal="center"/>
    </xf>
    <xf numFmtId="43" fontId="0" fillId="0" borderId="0" xfId="1" applyFont="1" applyFill="1" applyBorder="1"/>
    <xf numFmtId="43" fontId="9" fillId="0" borderId="0" xfId="1" applyFont="1"/>
    <xf numFmtId="43" fontId="0" fillId="0" borderId="1" xfId="1" applyFont="1" applyFill="1" applyBorder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3" fontId="2" fillId="0" borderId="0" xfId="0" applyNumberFormat="1" applyFont="1" applyAlignment="1">
      <alignment horizontal="center"/>
    </xf>
    <xf numFmtId="43" fontId="0" fillId="0" borderId="1" xfId="1" applyFont="1" applyFill="1" applyBorder="1"/>
    <xf numFmtId="12" fontId="0" fillId="0" borderId="0" xfId="1" applyNumberFormat="1" applyFont="1" applyFill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center"/>
    </xf>
    <xf numFmtId="43" fontId="0" fillId="5" borderId="0" xfId="0" applyNumberFormat="1" applyFill="1" applyAlignment="1">
      <alignment horizontal="center"/>
    </xf>
    <xf numFmtId="43" fontId="0" fillId="5" borderId="0" xfId="1" applyFont="1" applyFill="1" applyAlignment="1">
      <alignment horizontal="center"/>
    </xf>
    <xf numFmtId="0" fontId="0" fillId="5" borderId="0" xfId="0" applyFill="1"/>
    <xf numFmtId="43" fontId="0" fillId="5" borderId="0" xfId="0" applyNumberFormat="1" applyFill="1"/>
    <xf numFmtId="0" fontId="0" fillId="0" borderId="1" xfId="0" applyBorder="1"/>
    <xf numFmtId="0" fontId="8" fillId="6" borderId="0" xfId="0" applyFont="1" applyFill="1" applyAlignment="1">
      <alignment horizontal="center"/>
    </xf>
    <xf numFmtId="43" fontId="8" fillId="6" borderId="0" xfId="1" applyFont="1" applyFill="1"/>
    <xf numFmtId="43" fontId="0" fillId="2" borderId="0" xfId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43" fontId="0" fillId="0" borderId="0" xfId="1" applyFont="1" applyFill="1" applyAlignment="1">
      <alignment horizontal="center" vertical="center"/>
    </xf>
    <xf numFmtId="43" fontId="8" fillId="4" borderId="0" xfId="1" applyFont="1" applyFill="1"/>
    <xf numFmtId="43" fontId="8" fillId="4" borderId="0" xfId="0" applyNumberFormat="1" applyFont="1" applyFill="1" applyAlignment="1">
      <alignment horizontal="center"/>
    </xf>
    <xf numFmtId="0" fontId="8" fillId="4" borderId="0" xfId="0" applyFont="1" applyFill="1"/>
    <xf numFmtId="43" fontId="12" fillId="0" borderId="0" xfId="1" applyFont="1" applyFill="1" applyAlignment="1">
      <alignment horizontal="center" vertical="center"/>
    </xf>
    <xf numFmtId="43" fontId="7" fillId="0" borderId="0" xfId="0" applyNumberFormat="1" applyFont="1" applyAlignment="1">
      <alignment horizontal="center"/>
    </xf>
    <xf numFmtId="43" fontId="1" fillId="2" borderId="0" xfId="1" applyFont="1" applyFill="1" applyAlignment="1">
      <alignment horizontal="center"/>
    </xf>
    <xf numFmtId="49" fontId="0" fillId="0" borderId="0" xfId="0" applyNumberFormat="1" applyAlignment="1">
      <alignment horizontal="center"/>
    </xf>
    <xf numFmtId="43" fontId="0" fillId="7" borderId="0" xfId="1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43" fontId="0" fillId="0" borderId="0" xfId="0" applyNumberFormat="1" applyAlignment="1">
      <alignment horizontal="center" vertical="center"/>
    </xf>
    <xf numFmtId="43" fontId="0" fillId="2" borderId="0" xfId="0" applyNumberFormat="1" applyFill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43" fontId="0" fillId="0" borderId="0" xfId="1" applyFont="1" applyAlignment="1">
      <alignment horizontal="center"/>
    </xf>
    <xf numFmtId="43" fontId="10" fillId="0" borderId="0" xfId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3" fontId="0" fillId="0" borderId="0" xfId="1" applyFont="1" applyFill="1" applyAlignment="1">
      <alignment horizontal="center" vertical="center"/>
    </xf>
    <xf numFmtId="0" fontId="8" fillId="4" borderId="0" xfId="0" applyFont="1" applyFill="1" applyAlignment="1">
      <alignment horizontal="center"/>
    </xf>
  </cellXfs>
  <cellStyles count="9">
    <cellStyle name="Comma 2" xfId="2" xr:uid="{D3CCFAD3-235D-4C7C-8B47-2BE4D8450AB0}"/>
    <cellStyle name="Comma 2 2" xfId="6" xr:uid="{65CF4F2C-F60E-48F3-BA7E-CA2B27A7311F}"/>
    <cellStyle name="Comma 20" xfId="4" xr:uid="{7B129EBD-0E5E-2D4C-B811-A3817C552671}"/>
    <cellStyle name="Comma 20 2" xfId="8" xr:uid="{2AAE5E50-3427-4836-A2B4-F5757785BBAD}"/>
    <cellStyle name="Comma 3" xfId="5" xr:uid="{3C83C615-E1EA-4D0C-A0EE-D2F0943CC6FC}"/>
    <cellStyle name="Comma 4" xfId="3" xr:uid="{407020D8-335B-D14A-98CC-DB928B1708C2}"/>
    <cellStyle name="Comma 4 2" xfId="7" xr:uid="{324DDF5F-1679-4BE6-A920-0D8272F82027}"/>
    <cellStyle name="Millares" xfId="1" builtinId="3"/>
    <cellStyle name="Normal" xfId="0" builtinId="0"/>
  </cellStyles>
  <dxfs count="1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5" formatCode="_ * #,##0.00_ ;_ * \-#,##0.00_ ;_ * &quot;-&quot;??_ ;_ 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5" formatCode="_ * #,##0.00_ ;_ * \-#,##0.00_ ;_ * &quot;-&quot;??_ ;_ 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5" formatCode="_ * #,##0.00_ ;_ * \-#,##0.00_ ;_ * &quot;-&quot;??_ ;_ 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5" formatCode="_ * #,##0.00_ ;_ * \-#,##0.00_ ;_ * &quot;-&quot;??_ ;_ 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5" formatCode="_ * #,##0.00_ ;_ * \-#,##0.00_ ;_ * &quot;-&quot;??_ ;_ 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5" formatCode="_ * #,##0.00_ ;_ * \-#,##0.00_ ;_ * &quot;-&quot;??_ ;_ 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5" formatCode="_ * #,##0.00_ ;_ * \-#,##0.00_ ;_ * &quot;-&quot;??_ ;_ 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5" formatCode="_ * #,##0.00_ ;_ * \-#,##0.00_ ;_ * &quot;-&quot;??_ ;_ 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5" formatCode="_ * #,##0.00_ ;_ * \-#,##0.00_ ;_ * &quot;-&quot;??_ ;_ 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5" formatCode="_ * #,##0.00_ ;_ * \-#,##0.00_ ;_ * &quot;-&quot;??_ ;_ 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5" formatCode="_ * #,##0.00_ ;_ * \-#,##0.00_ ;_ * &quot;-&quot;??_ ;_ 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/m/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d/m/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fill>
        <patternFill patternType="solid">
          <fgColor indexed="64"/>
          <bgColor theme="3" tint="0.59999389629810485"/>
        </patternFill>
      </fill>
    </dxf>
    <dxf>
      <numFmt numFmtId="35" formatCode="_ * #,##0.00_ ;_ * \-#,##0.00_ ;_ * &quot;-&quot;??_ ;_ @_ "/>
      <fill>
        <patternFill patternType="solid">
          <fgColor indexed="64"/>
          <bgColor theme="3" tint="0.59999389629810485"/>
        </patternFill>
      </fill>
    </dxf>
    <dxf>
      <numFmt numFmtId="35" formatCode="_ * #,##0.00_ ;_ * \-#,##0.00_ ;_ * &quot;-&quot;??_ ;_ @_ "/>
      <fill>
        <patternFill patternType="solid">
          <fgColor indexed="64"/>
          <bgColor theme="3" tint="0.59999389629810485"/>
        </patternFill>
      </fill>
    </dxf>
    <dxf>
      <numFmt numFmtId="35" formatCode="_ * #,##0.00_ ;_ * \-#,##0.00_ ;_ * &quot;-&quot;??_ ;_ @_ "/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 * #,##0.00_ ;_ * \-#,##0.00_ ;_ * &quot;-&quot;??_ ;_ @_ "/>
      <fill>
        <patternFill patternType="none">
          <fgColor indexed="64"/>
          <bgColor auto="1"/>
        </patternFill>
      </fill>
    </dxf>
    <dxf>
      <numFmt numFmtId="35" formatCode="_ * #,##0.00_ ;_ * \-#,##0.00_ ;_ * &quot;-&quot;??_ ;_ @_ 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d/m/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top style="medium">
          <color theme="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theme="1"/>
        </bottom>
      </border>
    </dxf>
    <dxf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d/m/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d/m/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5" formatCode="_ * #,##0.00_ ;_ * \-#,##0.00_ ;_ * &quot;-&quot;??_ ;_ @_ "/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d/m/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d/m/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100594</xdr:colOff>
      <xdr:row>14</xdr:row>
      <xdr:rowOff>0</xdr:rowOff>
    </xdr:from>
    <xdr:to>
      <xdr:col>5</xdr:col>
      <xdr:colOff>1230894</xdr:colOff>
      <xdr:row>14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F2A6C3A-81A0-51D4-5317-EF1C255DB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96040" y="6890693"/>
          <a:ext cx="113030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3FBD4AE-C2B7-2E45-9CBE-0C0A8C42B0DC}" name="Tabla12" displayName="Tabla12" ref="B2:K14" totalsRowShown="0" headerRowDxfId="150" dataDxfId="149">
  <autoFilter ref="B2:K14" xr:uid="{13FBD4AE-C2B7-2E45-9CBE-0C0A8C42B0DC}"/>
  <tableColumns count="10">
    <tableColumn id="1" xr3:uid="{0ADC159E-682E-D54B-9BD5-807BF724C68B}" name="FECHA" dataDxfId="148" totalsRowDxfId="147"/>
    <tableColumn id="2" xr3:uid="{541273D2-D942-6746-9405-B785F550934C}" name="ORIGEN2" dataDxfId="146" totalsRowDxfId="145"/>
    <tableColumn id="3" xr3:uid="{06037F3E-A16E-A84C-8642-65DF86BDCDD7}" name="EMISOR2" dataDxfId="144" totalsRowDxfId="143"/>
    <tableColumn id="4" xr3:uid="{C605C893-D587-F741-A785-4B7C1909069A}" name="MONEDA" dataDxfId="142" totalsRowDxfId="141"/>
    <tableColumn id="5" xr3:uid="{521445F3-FD05-F845-A89D-A257AC8761BD}" name="MONTO" dataDxfId="140" totalsRowDxfId="139"/>
    <tableColumn id="7" xr3:uid="{9B256B1C-6753-A545-811A-5BEE8123046D}" name="DESTINO" dataDxfId="138" totalsRowDxfId="137"/>
    <tableColumn id="8" xr3:uid="{10AA598C-219E-A24D-971D-3973BC595A86}" name="RECEPTOR" dataDxfId="136" totalsRowDxfId="135"/>
    <tableColumn id="9" xr3:uid="{8B8EFAB0-8C70-9C4E-AEBB-1DD300BD6AC4}" name="MONTO2" dataDxfId="134">
      <calculatedColumnFormula>Tabla12[[#This Row],[MONTO]]</calculatedColumnFormula>
    </tableColumn>
    <tableColumn id="10" xr3:uid="{AF1435A5-1E5C-5E4A-ACBD-D79188C252E6}" name="REMITENTE" dataDxfId="133" totalsRowDxfId="132"/>
    <tableColumn id="6" xr3:uid="{1BAB687D-08B9-AD45-BCF0-C4A25DFC2939}" name="RECEPTOR2" dataDxfId="131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D7D1D6-9664-DD40-9ECB-6CC99518CB1C}" name="BOLIVARES" displayName="BOLIVARES" ref="B2:R61" totalsRowShown="0" headerRowDxfId="130" dataDxfId="129">
  <autoFilter ref="B2:R61" xr:uid="{5BD7D1D6-9664-DD40-9ECB-6CC99518CB1C}">
    <filterColumn colId="2">
      <filters blank="1">
        <filter val="ADELAIDA MUJICA"/>
        <filter val="AISSE MAURICE"/>
        <filter val="ALBERTO DEL POZO"/>
        <filter val="ALFONSO CAMPILLO"/>
        <filter val="AMADOR PEREIRA"/>
        <filter val="ANA KARINA MORENO"/>
        <filter val="ANDRE HERNANDEZ"/>
        <filter val="ANDREINA DIAZ CASH"/>
        <filter val="ANDREINA DIAZ ZELLE"/>
        <filter val="ANDRES ROMANTINI CASH"/>
        <filter val="ANDREW MORENO"/>
        <filter val="ANDREW MORENO PRESTAMO 1"/>
        <filter val="ANDY DUQUE"/>
        <filter val="ANENDY BENAVENTA"/>
        <filter val="ANGELICA ALVARADO"/>
        <filter val="ANIBAL BERMÚDEZ"/>
        <filter val="ARAYA"/>
        <filter val="ASDRUBAL MORENO"/>
        <filter val="AVANZA"/>
        <filter val="AXEL CRUZ"/>
        <filter val="BAN - AISSE"/>
        <filter val="BAN ALE"/>
        <filter val="BAN ANA K"/>
        <filter val="BAN BEA"/>
        <filter val="BAN CAMILO GARCIA"/>
        <filter val="BAN EVE"/>
        <filter val="BAN JESSICA Q"/>
        <filter val="BAN JOH"/>
        <filter val="BAN KAR"/>
        <filter val="BAN SAR"/>
        <filter val="BANCAMIGA EVE"/>
        <filter val="BANCAMIGA KAR"/>
        <filter val="BANCARIBE EVE"/>
        <filter val="BEATRIZ GIL"/>
        <filter val="BELKIS RAMONES"/>
        <filter val="BNC JESSICA"/>
        <filter val="BRENDA HERNANDEZ"/>
        <filter val="CAMILO GARCIA ZELLE"/>
        <filter val="CARLOS RODRIGUEZ ZELLE"/>
        <filter val="CARLOTA GOMES"/>
        <filter val="CASA"/>
        <filter val="CESAR BRAVO"/>
        <filter val="CHRISTIAN BURKE"/>
        <filter val="CLIENTE DE GUILLERMO 1"/>
        <filter val="CLIENTE SARAH EGELIS"/>
        <filter val="CLIENTE SARAH YEIN"/>
        <filter val="DANIEL MARTINEZ"/>
        <filter val="DANIELA BERMUDEZ"/>
        <filter val="DAVIS SETH"/>
        <filter val="DIAMANTINO"/>
        <filter val="DIDER CHARMETANT"/>
        <filter val="DIEGO ALONZO"/>
        <filter val="DIOMELYS APARICIO"/>
        <filter val="EDGAR RODRIGUEZ"/>
        <filter val="EDILIA ALVAREZ"/>
        <filter val="EDUARD OCHOA"/>
        <filter val="ELIZABETH ROSALES"/>
        <filter val="FABIO MOTISI"/>
        <filter val="FRANCISCO DURAN"/>
        <filter val="FRANKLIN QUATROMANI"/>
        <filter val="GREGORY PADRÓN PY"/>
        <filter val="GUILLERMO FREITES"/>
        <filter val="HONORIA ESCALONA"/>
        <filter val="HUMBERTO VIEIRA"/>
        <filter val="INTERESES"/>
        <filter val="IVAN RIVAS"/>
        <filter val="JAVIER DEL POZO"/>
        <filter val="JAVIER FERRERIA"/>
        <filter val="JAVIER ORJALES"/>
        <filter val="JEAN FRANCO DI LORENZO"/>
        <filter val="JESSICA QUINTERO"/>
        <filter val="JESSICA RANGEL"/>
        <filter val="JOEL JULES"/>
        <filter val="JOHAN LOZADA"/>
        <filter val="JORGE DIAZ"/>
        <filter val="JOSE ARAY"/>
        <filter val="JUAN IGNACIO DE BIASE"/>
        <filter val="JULIO LICON"/>
        <filter val="KAROL MALDONADO BANPA"/>
        <filter val="KAROL MALDONADO CASH"/>
        <filter val="KEVIN AMADO"/>
        <filter val="LEYMAR PARIACANO"/>
        <filter val="LUIS AZUAJE"/>
        <filter val="LUIS FRANCO"/>
        <filter val="LUIS GUILLERMO PEREZ"/>
        <filter val="LUIS SUAREZ"/>
        <filter val="MAISBEL CORDERO"/>
        <filter val="MANUEL HERRERA"/>
        <filter val="MARCEL YEITANI ANTAR"/>
        <filter val="MARIA GABRIELA CELIS"/>
        <filter val="MARIANA ABDELNOUR"/>
        <filter val="MARIANGEL MENDEZ"/>
        <filter val="MERC BEL"/>
        <filter val="MERC CAMILO"/>
        <filter val="MERC EVE"/>
        <filter val="MERC JOH"/>
        <filter val="MERC KAR"/>
        <filter val="MERCEDES LUQUE"/>
        <filter val="MIGUEL ANGEL CADENAS"/>
        <filter val="MIGUEL ZAPICO"/>
        <filter val="MOISES FLORES"/>
        <filter val="NELSON GARCIA"/>
        <filter val="NELSON GARCIA - NGCO"/>
        <filter val="NICOLAS BAHNA"/>
        <filter val="OMAR FIERRO"/>
        <filter val="ORLANDO FAJARDO"/>
        <filter val="PAULA GOTERA"/>
        <filter val="PEDRO BLANCO"/>
        <filter val="PROV EVE"/>
        <filter val="PROV KAR"/>
        <filter val="PROV SAR"/>
        <filter val="RAFAEL DOMINGUEZ"/>
        <filter val="RAMON TORRES"/>
        <filter val="RAMSES RAMIREZ"/>
        <filter val="RAUL FERNANDEZ"/>
        <filter val="ROBERTO GUILLEN"/>
        <filter val="RODOLFO MEDINA"/>
        <filter val="ROGER MARIN"/>
        <filter val="ROGER MARIN CALETA"/>
        <filter val="ROMME"/>
        <filter val="ROSANGEL JASPE"/>
        <filter val="RUTH TOLEDO"/>
        <filter val="SAMUEL SERAFIN"/>
        <filter val="STEPHANIE ZAMBRANO"/>
        <filter val="SUMIQUIN"/>
        <filter val="SUSAN CATANO"/>
        <filter val="VICTOR BALLATORI CASH"/>
        <filter val="VICTOR DE LAS CASAS"/>
        <filter val="VZLA ALE"/>
        <filter val="VZLA ANA K"/>
        <filter val="VZLA BELKIS"/>
        <filter val="VZLA EDUARD"/>
        <filter val="VZLA EVE"/>
        <filter val="VZLA INTERMEDIUS"/>
        <filter val="VZLA JOHA"/>
        <filter val="VZLA KAR"/>
        <filter val="VZLA MIGUEL R"/>
        <filter val="VZLA ROGER"/>
        <filter val="VZLA SAR"/>
        <filter val="YARLING CEDENO"/>
        <filter val="YEISON GARCIA"/>
        <filter val="YENSI MARTINEZ"/>
        <filter val="YURAIMA FLORES"/>
      </filters>
    </filterColumn>
  </autoFilter>
  <tableColumns count="17">
    <tableColumn id="1" xr3:uid="{EF03BAB0-6847-2144-9AC4-B01719038625}" name="FECHA" dataDxfId="128" totalsRowDxfId="127"/>
    <tableColumn id="2" xr3:uid="{FB5E8DC7-FD97-3446-AC0C-DD799B612B68}" name="ORIGEN" dataDxfId="126" totalsRowDxfId="125"/>
    <tableColumn id="3" xr3:uid="{BF4F65A3-E498-FE48-BE16-946AE734075F}" name="EMISOR" dataDxfId="124" totalsRowDxfId="123"/>
    <tableColumn id="4" xr3:uid="{6333DF6C-0113-AA47-9ECB-5BC45F072A6B}" name="MONEDA" dataDxfId="122" totalsRowDxfId="121"/>
    <tableColumn id="5" xr3:uid="{B5223BE1-BA2C-624D-8DF5-2375B4AA91C6}" name="DOLARES" dataDxfId="120" totalsRowDxfId="119">
      <calculatedColumnFormula>IFERROR(BOLIVARES[[#This Row],[BOLIVARES1]]/BOLIVARES[[#This Row],[TASA]],0)</calculatedColumnFormula>
    </tableColumn>
    <tableColumn id="6" xr3:uid="{AD4E3201-6D09-A644-95A1-C56F083038F0}" name="TASA" dataDxfId="118" totalsRowDxfId="117"/>
    <tableColumn id="7" xr3:uid="{D8F607C7-6DE0-C64B-82DD-9A3BCC0B7004}" name="BOLIVARES1" dataDxfId="116" totalsRowDxfId="115"/>
    <tableColumn id="8" xr3:uid="{A85BDD42-876E-8149-81FF-E3BCABCFDCBF}" name="COMISION" dataDxfId="114" totalsRowDxfId="113">
      <calculatedColumnFormula>BOLIVARES[[#This Row],[BOLIVARES1]]*0.003</calculatedColumnFormula>
    </tableColumn>
    <tableColumn id="9" xr3:uid="{F8E7499E-FB82-E945-98D1-17FF1D3EE01A}" name="REF" dataDxfId="112" totalsRowDxfId="111"/>
    <tableColumn id="10" xr3:uid="{27479EB0-22A1-9B4D-988D-1E6C98AC4201}" name="DESTINO" dataDxfId="110" totalsRowDxfId="109"/>
    <tableColumn id="11" xr3:uid="{B0D54DCF-329B-D74C-879A-3C290517FB6A}" name="RECEPTOR" dataDxfId="108" totalsRowDxfId="107"/>
    <tableColumn id="15" xr3:uid="{F1A238FD-323E-9F47-A34F-7942067FC8AE}" name="MONEDA2" dataDxfId="106" totalsRowDxfId="105"/>
    <tableColumn id="12" xr3:uid="{A33261C3-CB6D-A343-8B38-293363D69EB7}" name="DOLARES2" dataDxfId="104" totalsRowDxfId="103">
      <calculatedColumnFormula>IFERROR(BOLIVARES[[#This Row],[BOLIVARES2]]/BOLIVARES[[#This Row],[TASA2]],0)</calculatedColumnFormula>
    </tableColumn>
    <tableColumn id="13" xr3:uid="{8CAE229A-D6DF-734D-BD51-4B0E55AD8F7C}" name="TASA2" dataDxfId="102" totalsRowDxfId="101"/>
    <tableColumn id="14" xr3:uid="{3AE5B591-8F07-664E-A614-DE20591333C4}" name="BOLIVARES2" dataDxfId="100" totalsRowDxfId="99">
      <calculatedColumnFormula>BOLIVARES[[#This Row],[BOLIVARES1]]</calculatedColumnFormula>
    </tableColumn>
    <tableColumn id="16" xr3:uid="{342A1400-66D4-7641-9181-19E963570E5E}" name="DESCRIPCION" dataDxfId="98" totalsRowDxfId="97"/>
    <tableColumn id="17" xr3:uid="{3A63697C-0000-2648-8179-86DB736EA949}" name="GANANCIA DIRECTA" dataDxfId="96" totalsRowDxfId="95">
      <calculatedColumnFormula>IF(AND(C3="CLIENTES",K3="CLIENTES"),N3-F3,0)</calculatedColumnFormula>
    </tableColumn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C879EB-218F-1C4C-8BD3-4D60D02B9B7C}" name="CAMBIOS" displayName="CAMBIOS" ref="B2:L14" totalsRowShown="0" dataDxfId="93" headerRowBorderDxfId="94" tableBorderDxfId="92">
  <autoFilter ref="B2:L14" xr:uid="{10C879EB-218F-1C4C-8BD3-4D60D02B9B7C}"/>
  <tableColumns count="11">
    <tableColumn id="1" xr3:uid="{559CF138-0A26-5F4D-B08A-5B6CF36C5381}" name="FECHA" dataDxfId="91"/>
    <tableColumn id="2" xr3:uid="{5C9ED01C-BF6D-B24A-A8BB-FA962049E05B}" name="CAMBIO" dataDxfId="90"/>
    <tableColumn id="3" xr3:uid="{229C8D9F-8FF1-B14A-BDE6-569565C38F26}" name="SOLIICTANTES" dataDxfId="89"/>
    <tableColumn id="4" xr3:uid="{79A78119-55C8-CE4C-9094-ED473B2C6C30}" name="RECIBIDO " dataDxfId="88" dataCellStyle="Millares"/>
    <tableColumn id="5" xr3:uid="{319F7DE4-9FD6-D746-A7CE-31E72F7409FB}" name="ENVIAR " dataDxfId="87" dataCellStyle="Millares"/>
    <tableColumn id="10" xr3:uid="{A709CDF7-8C3D-6344-AC3A-FD25A111B20D}" name="COSTOS DE ENVÍO" dataDxfId="86"/>
    <tableColumn id="6" xr3:uid="{D1DF7422-0080-B940-A7C8-9CFE3EA83BDA}" name="DIFERENCIA" dataDxfId="85">
      <calculatedColumnFormula>CAMBIOS[[#This Row],[RECIBIDO ]]-CAMBIOS[[#This Row],[ENVIAR ]]</calculatedColumnFormula>
    </tableColumn>
    <tableColumn id="7" xr3:uid="{4CEA3E61-9DB9-6542-9A90-EE53AAAC1362}" name="PORCENTAJE" dataDxfId="84">
      <calculatedColumnFormula>IFERROR(CAMBIOS[[#This Row],[DIFERENCIA]]*100/CAMBIOS[[#This Row],[ENVIAR ]],0)</calculatedColumnFormula>
    </tableColumn>
    <tableColumn id="14" xr3:uid="{25D78F8B-7F91-D24C-9119-B1A4CBC1E50F}" name="GANANCIA REAL" dataDxfId="83">
      <calculatedColumnFormula>CAMBIOS[[#This Row],[DIFERENCIA]]-CAMBIOS[[#This Row],[COSTOS DE ENVÍO]]</calculatedColumnFormula>
    </tableColumn>
    <tableColumn id="12" xr3:uid="{B5D6B507-583B-BA4E-9788-2CAF7DFEB1F9}" name="% REAL" dataDxfId="82">
      <calculatedColumnFormula>IFERROR((CAMBIOS[[#This Row],[DIFERENCIA]]-CAMBIOS[[#This Row],[COSTOS DE ENVÍO]])*100/CAMBIOS[[#This Row],[ENVIAR ]],0)</calculatedColumnFormula>
    </tableColumn>
    <tableColumn id="8" xr3:uid="{D515A614-26D5-B94D-AF79-C7F893728F2A}" name="OBSERVACIONES" dataDxfId="81"/>
  </tableColumns>
  <tableStyleInfo name="TableStyleMedium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26ECB8F-F864-FE4C-9DC2-F1ACA847F55C}" name="Tabla14" displayName="Tabla14" ref="B2:K114" totalsRowShown="0" headerRowDxfId="80" dataDxfId="79" totalsRowDxfId="78">
  <autoFilter ref="B2:K114" xr:uid="{F26ECB8F-F864-FE4C-9DC2-F1ACA847F55C}"/>
  <sortState xmlns:xlrd2="http://schemas.microsoft.com/office/spreadsheetml/2017/richdata2" ref="B3:I114">
    <sortCondition ref="B2:B114"/>
  </sortState>
  <tableColumns count="10">
    <tableColumn id="1" xr3:uid="{C1627237-4B19-4844-8C50-ACE400B4A58B}" name="CLIENTE" dataDxfId="77" totalsRowDxfId="76">
      <calculatedColumnFormula>Tabla3[[#This Row],[CLIENTES]]</calculatedColumnFormula>
    </tableColumn>
    <tableColumn id="2" xr3:uid="{AABD86E3-4222-094A-8917-6AE458791B51}" name="PENDIENTE" dataDxfId="75" totalsRowDxfId="74"/>
    <tableColumn id="3" xr3:uid="{1D815497-4AF2-B94A-B1A9-649C4DAB74B1}" name="COMPRA" dataDxfId="73" totalsRowDxfId="72">
      <calculatedColumnFormula>SUMIF(BOLIVARES[EMISOR],Tabla3[[#This Row],[CLIENTES]],BOLIVARES[DOLARES])</calculatedColumnFormula>
    </tableColumn>
    <tableColumn id="4" xr3:uid="{A35C596E-B478-8D45-BF46-668A37475C66}" name="VENTA" dataDxfId="71" totalsRowDxfId="70">
      <calculatedColumnFormula>SUMIF(BOLIVARES[RECEPTOR],Tabla3[[#This Row],[CLIENTES]],BOLIVARES[DOLARES2])</calculatedColumnFormula>
    </tableColumn>
    <tableColumn id="5" xr3:uid="{4DE4B42B-488A-2B45-B4CE-A7F8D032B9FF}" name="PAGO" dataDxfId="69" totalsRowDxfId="68">
      <calculatedColumnFormula>SUMIF(Tabla12[EMISOR2],Tabla3[[#This Row],[CLIENTES]],Tabla12[MONTO])</calculatedColumnFormula>
    </tableColumn>
    <tableColumn id="6" xr3:uid="{616CC4F9-4F0C-574D-BAD1-CFE6E0D96450}" name="RETIRO" dataDxfId="67" totalsRowDxfId="66">
      <calculatedColumnFormula>SUMIF(Tabla12[RECEPTOR],Tabla3[[#This Row],[CLIENTES]],Tabla12[MONTO2])</calculatedColumnFormula>
    </tableColumn>
    <tableColumn id="8" xr3:uid="{86DEE42E-BC79-014C-82C8-C2BEFB38FFC4}" name="COMISION" dataDxfId="65" totalsRowDxfId="64" dataCellStyle="Millares">
      <calculatedColumnFormula>SUMIF(CAMBIOS[SOLIICTANTES],Tabla3[[#This Row],[CLIENTES]],CAMBIOS[DIFERENCIA])+
SUMIF(CAMBIOS[SOLIICTANTES],Tabla3[[#This Row],[CLIENTES]],CAMBIOS[COSTOS DE ENVÍO])</calculatedColumnFormula>
    </tableColumn>
    <tableColumn id="7" xr3:uid="{54059E66-5291-604D-B421-9A9646831A28}" name="SALDO" dataDxfId="63" totalsRowDxfId="62" dataCellStyle="Millares">
      <calculatedColumnFormula>Tabla14[[#This Row],[PENDIENTE]]+Tabla14[[#This Row],[VENTA]]+Tabla14[[#This Row],[RETIRO]]-Tabla14[[#This Row],[COMPRA]]-Tabla14[[#This Row],[PAGO]]+Tabla14[[#This Row],[COMISION]]</calculatedColumnFormula>
    </tableColumn>
    <tableColumn id="10" xr3:uid="{FDDBBE19-356F-7A43-8C5E-E2356DE2D695}" name="TIPO" dataDxfId="61" totalsRowDxfId="60"/>
    <tableColumn id="9" xr3:uid="{5E677C0D-85FA-1447-865F-DD196C667FC0}" name="GRUPO" dataDxfId="59" totalsRowDxfId="58"/>
  </tableColumns>
  <tableStyleInfo name="TableStyleMedium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EF5CEA0-31AC-834C-908E-4D4253E8EC56}" name="Tabla16" displayName="Tabla16" ref="B2:I32" totalsRowCount="1" headerRowDxfId="57" dataDxfId="56">
  <autoFilter ref="B2:I31" xr:uid="{4EF5CEA0-31AC-834C-908E-4D4253E8EC56}"/>
  <tableColumns count="8">
    <tableColumn id="1" xr3:uid="{AD04D0DF-D752-754B-A216-384BAE3173D5}" name="BANCOS" dataDxfId="55" totalsRowDxfId="54"/>
    <tableColumn id="2" xr3:uid="{E9572FBB-CA4C-A748-B17C-42C2939F89D0}" name="ACUMULADO" totalsRowFunction="custom" dataDxfId="53" totalsRowDxfId="52">
      <totalsRowFormula>SUM(Tabla16[ACUMULADO])</totalsRowFormula>
    </tableColumn>
    <tableColumn id="3" xr3:uid="{0AE01B9B-B4DD-A844-9041-AB395A0F300F}" name="INGRESO" totalsRowFunction="custom" dataDxfId="51" totalsRowDxfId="50">
      <calculatedColumnFormula>SUMIF(BOLIVARES[RECEPTOR],Tabla4[[#This Row],[BANCOS]],BOLIVARES[BOLIVARES1])</calculatedColumnFormula>
      <totalsRowFormula>SUM(Tabla16[INGRESO])</totalsRowFormula>
    </tableColumn>
    <tableColumn id="4" xr3:uid="{4C5E0162-93BE-B847-B0F0-10E159E42C47}" name="EGRESO" totalsRowFunction="custom" dataDxfId="49" totalsRowDxfId="48">
      <calculatedColumnFormula>SUMIF(BOLIVARES[EMISOR],Tabla4[[#This Row],[BANCOS]],BOLIVARES[BOLIVARES1])+
SUMIF(BOLIVARES[EMISOR],Tabla4[[#This Row],[BANCOS]],BOLIVARES[COMISION])</calculatedColumnFormula>
      <totalsRowFormula>SUM(Tabla16[EGRESO])</totalsRowFormula>
    </tableColumn>
    <tableColumn id="5" xr3:uid="{DCF91DBE-87CE-174A-9137-D3B7665FE4F0}" name="SALDO" totalsRowFunction="custom" dataDxfId="47" totalsRowDxfId="46">
      <calculatedColumnFormula>Tabla16[[#This Row],[ACUMULADO]]+Tabla16[[#This Row],[INGRESO]]-Tabla16[[#This Row],[EGRESO]]</calculatedColumnFormula>
      <totalsRowFormula>SUM(Tabla16[SALDO])</totalsRowFormula>
    </tableColumn>
    <tableColumn id="6" xr3:uid="{C1DAE2AB-016F-7844-9AC1-CBD8AB60A9CA}" name="DISPONIBLE" totalsRowLabel=" -   " dataDxfId="45" totalsRowDxfId="44"/>
    <tableColumn id="7" xr3:uid="{650AC0AE-5639-D643-BAEA-5A5B9975C829}" name="DIFERENCIA" dataDxfId="43" totalsRowDxfId="42">
      <calculatedColumnFormula>Tabla16[[#This Row],[SALDO]]-Tabla16[[#This Row],[DISPONIBLE]]</calculatedColumnFormula>
    </tableColumn>
    <tableColumn id="8" xr3:uid="{950758FA-42CB-4EE0-A1A9-5A6012929E50}" name="OBSERVACION" dataDxfId="41" totalsRowDxfId="40"/>
  </tableColumns>
  <tableStyleInfo name="TableStyleMedium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87FC61C-381A-8B4B-A191-D05D5D714A76}" name="Tabla17" displayName="Tabla17" ref="B2:H32" totalsRowCount="1" headerRowDxfId="39" dataDxfId="38">
  <autoFilter ref="B2:H31" xr:uid="{B87FC61C-381A-8B4B-A191-D05D5D714A76}"/>
  <tableColumns count="7">
    <tableColumn id="1" xr3:uid="{349DC0B9-2321-B04F-9BA2-8B3EF6FD9F35}" name="PLATAFORMAS" dataDxfId="37" totalsRowDxfId="6">
      <calculatedColumnFormula>Tabla10[[#This Row],[PLATAFORMAS]]</calculatedColumnFormula>
    </tableColumn>
    <tableColumn id="2" xr3:uid="{E5AF0781-C97E-F94B-A966-D114F7A96C33}" name="ACUMULADO" dataDxfId="36" totalsRowDxfId="5"/>
    <tableColumn id="3" xr3:uid="{4B3C5489-3898-2745-9A1E-3BE053ECD8A6}" name="INGRESOS" totalsRowFunction="custom" dataDxfId="35" totalsRowDxfId="4">
      <calculatedColumnFormula>SUMIF(Tabla12[RECEPTOR],Tabla10[[#This Row],[PLATAFORMAS]],Tabla12[MONTO2])</calculatedColumnFormula>
      <totalsRowFormula>SUM(Tabla17[INGRESOS])</totalsRowFormula>
    </tableColumn>
    <tableColumn id="4" xr3:uid="{649DE815-8252-AB49-85FE-E50D04B8683D}" name="EGRESOS" dataDxfId="34" totalsRowDxfId="3">
      <calculatedColumnFormula>SUMIF(Tabla12[EMISOR2],Tabla10[[#This Row],[PLATAFORMAS]],Tabla12[MONTO])</calculatedColumnFormula>
    </tableColumn>
    <tableColumn id="5" xr3:uid="{6B320F25-AD45-0D4E-BA70-6F52B155100B}" name="SALDO" totalsRowFunction="custom" dataDxfId="33" totalsRowDxfId="2">
      <totalsRowFormula>SUM(Tabla17[SALDO])</totalsRowFormula>
    </tableColumn>
    <tableColumn id="6" xr3:uid="{95FED582-0FE9-5744-B737-9461B36130CF}" name="DISPONIBLE" dataDxfId="32" totalsRowDxfId="1"/>
    <tableColumn id="7" xr3:uid="{11B657A4-BA3E-B34D-884D-70860D8C3E95}" name="DIFERENCIA" dataDxfId="31" totalsRowDxfId="0">
      <calculatedColumnFormula>Tabla17[[#This Row],[SALDO]]-Tabla17[[#This Row],[DISPONIBLE]]</calculatedColumnFormula>
    </tableColumn>
  </tableColumns>
  <tableStyleInfo name="TableStyleMedium1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6ADEB0-0D73-1E42-AAEC-9CBC52222B15}" name="Tabla2" displayName="Tabla2" ref="B2:B5" totalsRowShown="0" headerRowDxfId="30" dataDxfId="29">
  <autoFilter ref="B2:B5" xr:uid="{5F6ADEB0-0D73-1E42-AAEC-9CBC52222B15}"/>
  <tableColumns count="1">
    <tableColumn id="1" xr3:uid="{74284193-0DEE-D64B-9401-1E49D0F0B4BC}" name="ORIGEN" dataDxfId="28"/>
  </tableColumns>
  <tableStyleInfo name="TableStyleMedium1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972835-25F7-5B4A-870E-515FEBECA551}" name="Tabla3" displayName="Tabla3" ref="D2:D114" totalsRowShown="0" headerRowDxfId="27" dataDxfId="26">
  <autoFilter ref="D2:D114" xr:uid="{D2972835-25F7-5B4A-870E-515FEBECA551}"/>
  <sortState xmlns:xlrd2="http://schemas.microsoft.com/office/spreadsheetml/2017/richdata2" ref="D3:D124">
    <sortCondition ref="D124"/>
  </sortState>
  <tableColumns count="1">
    <tableColumn id="1" xr3:uid="{2F6402DF-EFED-3B49-91A1-7576669674F1}" name="CLIENTES" dataDxfId="25"/>
  </tableColumns>
  <tableStyleInfo name="TableStyleMedium1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FDBEF5-C7A1-E540-8AAB-C26A8226272C}" name="Tabla4" displayName="Tabla4" ref="F2:F31" totalsRowShown="0" headerRowDxfId="24" dataDxfId="23">
  <autoFilter ref="F2:F31" xr:uid="{3EFDBEF5-C7A1-E540-8AAB-C26A8226272C}"/>
  <sortState xmlns:xlrd2="http://schemas.microsoft.com/office/spreadsheetml/2017/richdata2" ref="F3:F27">
    <sortCondition ref="F3:F27"/>
  </sortState>
  <tableColumns count="1">
    <tableColumn id="1" xr3:uid="{82A5F07F-BB1F-F340-8827-EE01A625C766}" name="BANCOS" dataDxfId="22"/>
  </tableColumns>
  <tableStyleInfo name="TableStyleMedium1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B001C6-0B53-9942-BD3A-CB0DAC02BE68}" name="MONEDAS" displayName="MONEDAS" ref="H2:H11" totalsRowShown="0" headerRowDxfId="21" dataDxfId="20">
  <autoFilter ref="H2:H11" xr:uid="{8BB001C6-0B53-9942-BD3A-CB0DAC02BE68}"/>
  <tableColumns count="1">
    <tableColumn id="1" xr3:uid="{F15B4461-138D-0B40-BC4D-FECEA073A1C1}" name="MONEDAS" dataDxfId="19"/>
  </tableColumns>
  <tableStyleInfo name="TableStyleMedium1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8961DF-309F-5E46-81F5-35A0257B14CB}" name="DESTINO" displayName="DESTINO" ref="J2:J6" totalsRowShown="0" headerRowDxfId="18" dataDxfId="17">
  <autoFilter ref="J2:J6" xr:uid="{F08961DF-309F-5E46-81F5-35A0257B14CB}"/>
  <tableColumns count="1">
    <tableColumn id="1" xr3:uid="{714AAB21-3C99-4744-97B0-6BD93EF00C9C}" name="DESTINO" dataDxfId="16"/>
  </tableColumns>
  <tableStyleInfo name="TableStyleMedium1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9C19A3-C28A-F14D-B466-CD2EA9D24A8F}" name="GASTOS2" displayName="GASTOS2" ref="L2:L15" totalsRowShown="0" headerRowDxfId="15" dataDxfId="14">
  <autoFilter ref="L2:L15" xr:uid="{759C19A3-C28A-F14D-B466-CD2EA9D24A8F}"/>
  <sortState xmlns:xlrd2="http://schemas.microsoft.com/office/spreadsheetml/2017/richdata2" ref="L3:L27">
    <sortCondition ref="L3:L27"/>
  </sortState>
  <tableColumns count="1">
    <tableColumn id="1" xr3:uid="{8B899BD0-861A-5544-86DA-C65A6EB66A87}" name="GASTOS" dataDxfId="13"/>
  </tableColumns>
  <tableStyleInfo name="TableStyleMedium1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E16BA8C-DD3C-6945-8BD6-8668909F2CE8}" name="Tabla10" displayName="Tabla10" ref="N2:N31" totalsRowShown="0" headerRowDxfId="12" dataDxfId="11">
  <autoFilter ref="N2:N31" xr:uid="{DE16BA8C-DD3C-6945-8BD6-8668909F2CE8}"/>
  <tableColumns count="1">
    <tableColumn id="1" xr3:uid="{952D1BEF-AA31-0840-98E9-3C5C25E5AE2E}" name="PLATAFORMAS" dataDxfId="10"/>
  </tableColumns>
  <tableStyleInfo name="TableStyleMedium1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050AA1A-ED68-CF49-AC12-5D91AF527178}" name="Tabla19" displayName="Tabla19" ref="P2:P15" totalsRowShown="0" headerRowDxfId="9" dataDxfId="8">
  <autoFilter ref="P2:P15" xr:uid="{9050AA1A-ED68-CF49-AC12-5D91AF527178}"/>
  <tableColumns count="1">
    <tableColumn id="1" xr3:uid="{07A8412F-EBE4-5D47-A6EE-B99A49746764}" name="CAMBIOS" dataDxfId="7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0D015-1248-0046-93A6-2507FA22F8F4}">
  <dimension ref="A1:AC14"/>
  <sheetViews>
    <sheetView tabSelected="1" zoomScale="70" zoomScaleNormal="75" workbookViewId="0">
      <selection activeCell="D21" sqref="D21"/>
    </sheetView>
  </sheetViews>
  <sheetFormatPr baseColWidth="10" defaultColWidth="11" defaultRowHeight="15.6" x14ac:dyDescent="0.3"/>
  <cols>
    <col min="1" max="1" width="9.296875" customWidth="1"/>
    <col min="2" max="3" width="20.69921875" customWidth="1"/>
    <col min="4" max="4" width="29.69921875" customWidth="1"/>
    <col min="5" max="5" width="20.69921875" customWidth="1"/>
    <col min="6" max="6" width="20.69921875" style="11" customWidth="1"/>
    <col min="7" max="7" width="20.69921875" customWidth="1"/>
    <col min="8" max="8" width="27.69921875" customWidth="1"/>
    <col min="9" max="9" width="20.69921875" style="35" customWidth="1"/>
    <col min="10" max="10" width="39.5" customWidth="1"/>
    <col min="11" max="11" width="34.19921875" customWidth="1"/>
    <col min="12" max="12" width="19.19921875" customWidth="1"/>
    <col min="13" max="13" width="27.69921875" customWidth="1"/>
    <col min="14" max="14" width="17" customWidth="1"/>
    <col min="15" max="15" width="26.19921875" style="1" customWidth="1"/>
    <col min="16" max="16" width="15.69921875" style="4" customWidth="1"/>
    <col min="17" max="17" width="15.69921875" customWidth="1"/>
    <col min="18" max="18" width="17.69921875" customWidth="1"/>
    <col min="20" max="20" width="16.19921875" customWidth="1"/>
    <col min="28" max="29" width="11" style="4"/>
  </cols>
  <sheetData>
    <row r="1" spans="1:29" x14ac:dyDescent="0.3">
      <c r="P1" s="11"/>
      <c r="AB1" s="11"/>
      <c r="AC1" s="11"/>
    </row>
    <row r="2" spans="1:29" x14ac:dyDescent="0.3">
      <c r="B2" s="3" t="s">
        <v>0</v>
      </c>
      <c r="C2" s="1" t="s">
        <v>34</v>
      </c>
      <c r="D2" s="1" t="s">
        <v>43</v>
      </c>
      <c r="E2" s="1" t="s">
        <v>1</v>
      </c>
      <c r="F2" s="10" t="s">
        <v>44</v>
      </c>
      <c r="G2" s="1" t="s">
        <v>9</v>
      </c>
      <c r="H2" s="1" t="s">
        <v>10</v>
      </c>
      <c r="I2" s="34" t="s">
        <v>45</v>
      </c>
      <c r="J2" s="1" t="s">
        <v>60</v>
      </c>
      <c r="K2" s="1" t="s">
        <v>151</v>
      </c>
      <c r="M2" s="54" t="s">
        <v>83</v>
      </c>
      <c r="N2" s="54"/>
      <c r="O2" s="54"/>
      <c r="P2" s="54"/>
      <c r="Z2" s="4"/>
      <c r="AA2" s="4"/>
      <c r="AB2"/>
      <c r="AC2"/>
    </row>
    <row r="3" spans="1:29" x14ac:dyDescent="0.3">
      <c r="B3" s="3">
        <v>46218</v>
      </c>
      <c r="C3" s="1" t="s">
        <v>17</v>
      </c>
      <c r="D3" s="1" t="s">
        <v>164</v>
      </c>
      <c r="E3" s="1" t="s">
        <v>224</v>
      </c>
      <c r="F3" s="10">
        <v>1000</v>
      </c>
      <c r="G3" s="1" t="s">
        <v>16</v>
      </c>
      <c r="H3" s="1" t="s">
        <v>96</v>
      </c>
      <c r="I3" s="34">
        <f>Tabla12[[#This Row],[MONTO]]</f>
        <v>1000</v>
      </c>
      <c r="J3" s="2"/>
      <c r="K3" s="2"/>
      <c r="M3" s="1" t="s">
        <v>107</v>
      </c>
      <c r="N3" s="4">
        <f>SUMIF(Tabla12[ORIGEN2],LISTAS!B4,Tabla12[MONTO])</f>
        <v>900</v>
      </c>
      <c r="O3" s="2">
        <f>SUM(Tabla14[PAGO])</f>
        <v>900</v>
      </c>
      <c r="P3" s="20">
        <f>N3-O3</f>
        <v>0</v>
      </c>
      <c r="Z3" s="4"/>
      <c r="AA3" s="4"/>
      <c r="AB3"/>
      <c r="AC3"/>
    </row>
    <row r="4" spans="1:29" x14ac:dyDescent="0.3">
      <c r="B4" s="3">
        <v>46218</v>
      </c>
      <c r="C4" s="1" t="s">
        <v>16</v>
      </c>
      <c r="D4" s="1" t="s">
        <v>96</v>
      </c>
      <c r="E4" s="1" t="s">
        <v>226</v>
      </c>
      <c r="F4" s="10">
        <v>900</v>
      </c>
      <c r="G4" s="1" t="s">
        <v>16</v>
      </c>
      <c r="H4" s="1" t="s">
        <v>216</v>
      </c>
      <c r="I4" s="34">
        <f>Tabla12[[#This Row],[MONTO]]</f>
        <v>900</v>
      </c>
      <c r="J4" s="2"/>
      <c r="K4" s="2"/>
      <c r="M4" s="1" t="s">
        <v>118</v>
      </c>
      <c r="N4" s="4">
        <f>SUMIFS(Tabla12[MONTO],Tabla12[ORIGEN2],LISTAS!B5,Tabla12[DESTINO],Tabla2[[#This Row],[ORIGEN]])</f>
        <v>1000</v>
      </c>
      <c r="O4" s="52">
        <f>SUM(Tabla14[RETIRO])</f>
        <v>1900</v>
      </c>
      <c r="P4" s="53">
        <f>(N4+N5)-O4</f>
        <v>0</v>
      </c>
      <c r="Z4" s="4"/>
      <c r="AA4" s="4"/>
      <c r="AB4"/>
      <c r="AC4"/>
    </row>
    <row r="5" spans="1:29" x14ac:dyDescent="0.3">
      <c r="B5" s="3"/>
      <c r="C5" s="1"/>
      <c r="D5" s="1"/>
      <c r="E5" s="1"/>
      <c r="F5" s="10"/>
      <c r="G5" s="1"/>
      <c r="H5" s="1"/>
      <c r="I5" s="34">
        <f>Tabla12[[#This Row],[MONTO]]</f>
        <v>0</v>
      </c>
      <c r="J5" s="2"/>
      <c r="K5" s="2"/>
      <c r="M5" s="1" t="s">
        <v>119</v>
      </c>
      <c r="N5" s="4">
        <f>SUMIFS(Tabla12[MONTO],Tabla12[ORIGEN2],LISTAS!B4,Tabla12[DESTINO],LISTAS!B4)</f>
        <v>900</v>
      </c>
      <c r="O5" s="52"/>
      <c r="P5" s="53"/>
      <c r="Z5" s="4"/>
      <c r="AA5" s="4"/>
      <c r="AB5"/>
      <c r="AC5"/>
    </row>
    <row r="6" spans="1:29" x14ac:dyDescent="0.3">
      <c r="B6" s="3"/>
      <c r="C6" s="1"/>
      <c r="D6" s="1"/>
      <c r="E6" s="1"/>
      <c r="F6" s="10"/>
      <c r="G6" s="1"/>
      <c r="H6" s="1"/>
      <c r="I6" s="34">
        <f>Tabla12[[#This Row],[MONTO]]</f>
        <v>0</v>
      </c>
      <c r="J6" s="2"/>
      <c r="K6" s="2"/>
      <c r="N6" s="4"/>
      <c r="O6"/>
      <c r="P6"/>
      <c r="Z6" s="4"/>
      <c r="AA6" s="4"/>
      <c r="AB6"/>
      <c r="AC6"/>
    </row>
    <row r="7" spans="1:29" x14ac:dyDescent="0.3">
      <c r="B7" s="3"/>
      <c r="C7" s="1"/>
      <c r="D7" s="1"/>
      <c r="E7" s="1"/>
      <c r="F7" s="10"/>
      <c r="G7" s="1"/>
      <c r="H7" s="1"/>
      <c r="I7" s="34">
        <f>Tabla12[[#This Row],[MONTO]]</f>
        <v>0</v>
      </c>
      <c r="J7" s="2"/>
      <c r="K7" s="2"/>
      <c r="N7" s="4"/>
      <c r="O7"/>
      <c r="P7"/>
      <c r="Z7" s="4"/>
      <c r="AA7" s="4"/>
      <c r="AB7"/>
      <c r="AC7"/>
    </row>
    <row r="8" spans="1:29" x14ac:dyDescent="0.3">
      <c r="B8" s="3"/>
      <c r="C8" s="1"/>
      <c r="D8" s="1"/>
      <c r="E8" s="1"/>
      <c r="F8" s="10"/>
      <c r="G8" s="1"/>
      <c r="H8" s="1"/>
      <c r="I8" s="34">
        <f>Tabla12[[#This Row],[MONTO]]</f>
        <v>0</v>
      </c>
      <c r="J8" s="2"/>
      <c r="K8" s="2"/>
      <c r="M8" s="54" t="s">
        <v>147</v>
      </c>
      <c r="N8" s="54"/>
      <c r="O8" s="54"/>
      <c r="P8" s="54"/>
      <c r="Z8" s="4"/>
      <c r="AA8" s="4"/>
      <c r="AB8"/>
      <c r="AC8"/>
    </row>
    <row r="9" spans="1:29" x14ac:dyDescent="0.3">
      <c r="B9" s="3"/>
      <c r="C9" s="1"/>
      <c r="D9" s="1"/>
      <c r="E9" s="1"/>
      <c r="F9" s="10"/>
      <c r="G9" s="1"/>
      <c r="H9" s="1"/>
      <c r="I9" s="34">
        <f>Tabla12[[#This Row],[MONTO]]</f>
        <v>0</v>
      </c>
      <c r="J9" s="2"/>
      <c r="K9" s="2"/>
      <c r="M9" s="1" t="s">
        <v>56</v>
      </c>
      <c r="N9" s="4">
        <f>SUMIF(Tabla12[DESTINO],LISTAS!B5,Tabla12[MONTO2])</f>
        <v>0</v>
      </c>
      <c r="O9" s="13">
        <f>Tabla17[[#Totals],[INGRESOS]]</f>
        <v>0</v>
      </c>
      <c r="P9" s="20">
        <f>N9-O9</f>
        <v>0</v>
      </c>
      <c r="Z9" s="4"/>
      <c r="AA9" s="4"/>
      <c r="AB9"/>
      <c r="AC9"/>
    </row>
    <row r="10" spans="1:29" x14ac:dyDescent="0.3">
      <c r="B10" s="3"/>
      <c r="C10" s="1"/>
      <c r="D10" s="1"/>
      <c r="E10" s="1"/>
      <c r="F10" s="10"/>
      <c r="G10" s="1"/>
      <c r="H10" s="1"/>
      <c r="I10" s="34">
        <f>Tabla12[[#This Row],[MONTO]]</f>
        <v>0</v>
      </c>
      <c r="J10" s="2"/>
      <c r="K10" s="2"/>
      <c r="M10" s="1" t="s">
        <v>57</v>
      </c>
      <c r="N10" s="4">
        <f>SUMIF(Tabla12[ORIGEN2],LISTAS!B5,Tabla12[MONTO])</f>
        <v>1000</v>
      </c>
      <c r="O10" s="13">
        <f>Tabla17[[#Totals],[EGRESOS]]</f>
        <v>0</v>
      </c>
      <c r="P10" s="20">
        <f>N10-O10</f>
        <v>1000</v>
      </c>
      <c r="Z10" s="4"/>
      <c r="AA10" s="4"/>
      <c r="AB10"/>
      <c r="AC10"/>
    </row>
    <row r="11" spans="1:29" x14ac:dyDescent="0.3">
      <c r="B11" s="3"/>
      <c r="C11" s="1"/>
      <c r="D11" s="1"/>
      <c r="E11" s="1"/>
      <c r="F11" s="10"/>
      <c r="G11" s="1"/>
      <c r="H11" s="1"/>
      <c r="I11" s="34">
        <f>Tabla12[[#This Row],[MONTO]]</f>
        <v>0</v>
      </c>
      <c r="J11" s="2"/>
      <c r="K11" s="2"/>
      <c r="M11" s="1"/>
      <c r="N11" s="4"/>
      <c r="O11"/>
      <c r="P11"/>
      <c r="Z11" s="4"/>
      <c r="AA11" s="4"/>
      <c r="AB11"/>
      <c r="AC11"/>
    </row>
    <row r="12" spans="1:29" x14ac:dyDescent="0.3">
      <c r="A12" s="3"/>
      <c r="B12" s="3"/>
      <c r="C12" s="1"/>
      <c r="D12" s="1"/>
      <c r="E12" s="1"/>
      <c r="F12" s="10"/>
      <c r="G12" s="1"/>
      <c r="H12" s="1"/>
      <c r="I12" s="34">
        <f>Tabla12[[#This Row],[MONTO]]</f>
        <v>0</v>
      </c>
      <c r="J12" s="2"/>
      <c r="K12" s="2"/>
      <c r="M12" s="1"/>
      <c r="N12" s="4"/>
      <c r="O12"/>
      <c r="P12"/>
      <c r="Z12" s="4"/>
      <c r="AA12" s="4"/>
      <c r="AB12"/>
      <c r="AC12"/>
    </row>
    <row r="13" spans="1:29" x14ac:dyDescent="0.3">
      <c r="B13" s="3"/>
      <c r="C13" s="1"/>
      <c r="D13" s="1"/>
      <c r="E13" s="1"/>
      <c r="F13" s="10"/>
      <c r="G13" s="1"/>
      <c r="H13" s="1"/>
      <c r="I13" s="34">
        <f>Tabla12[[#This Row],[MONTO]]</f>
        <v>0</v>
      </c>
      <c r="J13" s="2"/>
      <c r="K13" s="2"/>
      <c r="M13" s="1"/>
      <c r="N13" s="4"/>
      <c r="O13"/>
      <c r="P13"/>
      <c r="Z13" s="4"/>
      <c r="AA13" s="4"/>
      <c r="AB13"/>
      <c r="AC13"/>
    </row>
    <row r="14" spans="1:29" x14ac:dyDescent="0.3">
      <c r="B14" s="3"/>
      <c r="C14" s="1"/>
      <c r="D14" s="1"/>
      <c r="E14" s="1"/>
      <c r="F14" s="10"/>
      <c r="G14" s="1"/>
      <c r="H14" s="1"/>
      <c r="I14" s="34">
        <f>Tabla12[[#This Row],[MONTO]]</f>
        <v>0</v>
      </c>
      <c r="J14" s="2"/>
      <c r="K14" s="2"/>
      <c r="M14" s="1"/>
      <c r="N14" s="4"/>
      <c r="O14"/>
      <c r="P14"/>
      <c r="Z14" s="4"/>
      <c r="AA14" s="4"/>
      <c r="AB14"/>
      <c r="AC14"/>
    </row>
  </sheetData>
  <mergeCells count="4">
    <mergeCell ref="O4:O5"/>
    <mergeCell ref="P4:P5"/>
    <mergeCell ref="M2:P2"/>
    <mergeCell ref="M8:P8"/>
  </mergeCells>
  <dataValidations count="2">
    <dataValidation type="list" allowBlank="1" showInputMessage="1" showErrorMessage="1" sqref="D3:D14" xr:uid="{308F64C0-AB9F-4573-8161-D35C4004C982}">
      <formula1>INDIRECT($C3)</formula1>
    </dataValidation>
    <dataValidation type="list" allowBlank="1" showInputMessage="1" showErrorMessage="1" sqref="H3:H14" xr:uid="{B649E654-0016-4C04-B167-AA8566B166A6}">
      <formula1>INDIRECT($G3)</formula1>
    </dataValidation>
  </dataValidations>
  <pageMargins left="0.7" right="0.7" top="0.75" bottom="0.75" header="0.3" footer="0.3"/>
  <pageSetup orientation="portrait" horizontalDpi="0" verticalDpi="0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97998B-A49D-4088-98B8-BAA5646622D5}">
          <x14:formula1>
            <xm:f>OFFSET(LISTAS!$J$2,1,0,COUNTA(LISTAS!$J:$J)-1)</xm:f>
          </x14:formula1>
          <xm:sqref>C3:C14 G3:G14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9892-D1AE-F24C-A88A-9EE7F0205BB6}">
  <dimension ref="A1:AF61"/>
  <sheetViews>
    <sheetView topLeftCell="B1" zoomScale="75" zoomScaleNormal="64" workbookViewId="0">
      <selection activeCell="M7" sqref="M7"/>
    </sheetView>
  </sheetViews>
  <sheetFormatPr baseColWidth="10" defaultColWidth="11" defaultRowHeight="15.6" x14ac:dyDescent="0.3"/>
  <cols>
    <col min="1" max="1" width="6.5" style="1" customWidth="1"/>
    <col min="2" max="2" width="15.19921875" style="3" customWidth="1"/>
    <col min="3" max="3" width="15.19921875" style="1" customWidth="1"/>
    <col min="4" max="4" width="32" style="1" customWidth="1"/>
    <col min="5" max="5" width="10.69921875" style="1" customWidth="1"/>
    <col min="6" max="6" width="13" style="2" customWidth="1"/>
    <col min="7" max="7" width="10.69921875" style="2" customWidth="1"/>
    <col min="8" max="8" width="17.69921875" style="34" customWidth="1"/>
    <col min="9" max="9" width="12.69921875" style="2" customWidth="1"/>
    <col min="10" max="10" width="24.69921875" style="49" customWidth="1"/>
    <col min="11" max="11" width="17.69921875" style="1" customWidth="1"/>
    <col min="12" max="12" width="31.19921875" style="1" customWidth="1"/>
    <col min="13" max="13" width="13.796875" style="1" customWidth="1"/>
    <col min="14" max="14" width="13.5" style="1" customWidth="1"/>
    <col min="15" max="15" width="16.69921875" style="2" customWidth="1"/>
    <col min="16" max="16" width="16.69921875" style="33" customWidth="1"/>
    <col min="17" max="17" width="38.296875" style="2" customWidth="1"/>
    <col min="18" max="18" width="10.796875" style="1" customWidth="1"/>
    <col min="19" max="19" width="25" customWidth="1"/>
    <col min="20" max="20" width="34.69921875" customWidth="1"/>
    <col min="21" max="21" width="37.796875" style="1" customWidth="1"/>
    <col min="22" max="22" width="28.5" style="4" customWidth="1"/>
    <col min="23" max="23" width="19.69921875" style="4" customWidth="1"/>
    <col min="24" max="24" width="23.69921875" customWidth="1"/>
    <col min="25" max="25" width="40.5" customWidth="1"/>
    <col min="26" max="26" width="39.69921875" customWidth="1"/>
    <col min="27" max="27" width="17.19921875" customWidth="1"/>
    <col min="28" max="28" width="23.69921875" customWidth="1"/>
    <col min="29" max="29" width="21.69921875" style="1" customWidth="1"/>
    <col min="30" max="30" width="18.5" customWidth="1"/>
    <col min="31" max="32" width="15.69921875" customWidth="1"/>
    <col min="34" max="34" width="18.69921875" customWidth="1"/>
  </cols>
  <sheetData>
    <row r="1" spans="2:31" x14ac:dyDescent="0.3">
      <c r="V1" s="11"/>
      <c r="W1" s="11"/>
    </row>
    <row r="2" spans="2:31" x14ac:dyDescent="0.3">
      <c r="B2" s="3" t="s">
        <v>0</v>
      </c>
      <c r="C2" s="1" t="s">
        <v>4</v>
      </c>
      <c r="D2" s="1" t="s">
        <v>3</v>
      </c>
      <c r="E2" s="1" t="s">
        <v>1</v>
      </c>
      <c r="F2" s="2" t="s">
        <v>5</v>
      </c>
      <c r="G2" s="2" t="s">
        <v>6</v>
      </c>
      <c r="H2" s="34" t="s">
        <v>14</v>
      </c>
      <c r="I2" s="2" t="s">
        <v>7</v>
      </c>
      <c r="J2" s="49" t="s">
        <v>8</v>
      </c>
      <c r="K2" s="1" t="s">
        <v>9</v>
      </c>
      <c r="L2" s="1" t="s">
        <v>10</v>
      </c>
      <c r="M2" s="1" t="s">
        <v>215</v>
      </c>
      <c r="N2" s="2" t="s">
        <v>11</v>
      </c>
      <c r="O2" s="2" t="s">
        <v>12</v>
      </c>
      <c r="P2" s="33" t="s">
        <v>13</v>
      </c>
      <c r="Q2" s="1" t="s">
        <v>76</v>
      </c>
      <c r="R2" s="1" t="s">
        <v>157</v>
      </c>
      <c r="S2" s="1"/>
      <c r="T2" s="54" t="s">
        <v>82</v>
      </c>
      <c r="U2" s="54"/>
      <c r="V2" s="54"/>
      <c r="W2" s="54"/>
      <c r="Y2" s="55" t="s">
        <v>101</v>
      </c>
      <c r="Z2" s="55"/>
      <c r="AB2" s="55" t="s">
        <v>124</v>
      </c>
      <c r="AC2" s="55"/>
    </row>
    <row r="3" spans="2:31" x14ac:dyDescent="0.3">
      <c r="B3" s="3">
        <v>46041</v>
      </c>
      <c r="C3" s="1" t="s">
        <v>15</v>
      </c>
      <c r="D3" s="1" t="s">
        <v>188</v>
      </c>
      <c r="E3" s="1" t="s">
        <v>26</v>
      </c>
      <c r="F3" s="2">
        <f>IFERROR(BOLIVARES[[#This Row],[BOLIVARES1]]/BOLIVARES[[#This Row],[TASA]],0)</f>
        <v>0</v>
      </c>
      <c r="H3" s="34">
        <v>19500</v>
      </c>
      <c r="J3" s="49" t="s">
        <v>213</v>
      </c>
      <c r="K3" s="1" t="s">
        <v>16</v>
      </c>
      <c r="L3" s="1" t="s">
        <v>216</v>
      </c>
      <c r="M3" s="1" t="s">
        <v>27</v>
      </c>
      <c r="N3" s="2">
        <f>IFERROR(BOLIVARES[[#This Row],[BOLIVARES2]]/BOLIVARES[[#This Row],[TASA2]],0)</f>
        <v>50</v>
      </c>
      <c r="O3" s="2">
        <v>390</v>
      </c>
      <c r="P3" s="33">
        <f>BOLIVARES[[#This Row],[BOLIVARES1]]</f>
        <v>19500</v>
      </c>
      <c r="R3" s="2">
        <f t="shared" ref="R3:R5" si="0">IF(AND(C3="CLIENTES",K3="CLIENTES"),N3-F3,0)</f>
        <v>0</v>
      </c>
      <c r="S3" s="2"/>
      <c r="T3" s="1" t="s">
        <v>81</v>
      </c>
      <c r="U3" s="5">
        <f>SUMIF(BOLIVARES[ORIGEN],LISTAS!B4,BOLIVARES[DOLARES])</f>
        <v>0</v>
      </c>
      <c r="V3" s="2">
        <f>SUM(Tabla14[COMPRA])</f>
        <v>0</v>
      </c>
      <c r="W3" s="12">
        <f>U3-V3</f>
        <v>0</v>
      </c>
      <c r="Y3" s="1" t="s">
        <v>110</v>
      </c>
      <c r="Z3" s="4">
        <f>SUMIFS(BOLIVARES[BOLIVARES1],BOLIVARES[ORIGEN],LISTAS!B4,BOLIVARES[DESTINO],LISTAS!B3)</f>
        <v>100000</v>
      </c>
      <c r="AB3" s="56">
        <f>SUMIFS(BOLIVARES[BOLIVARES1],BOLIVARES[ORIGEN],LISTAS!B3,BOLIVARES[DESTINO],LISTAS!B3)</f>
        <v>0</v>
      </c>
      <c r="AC3" s="56"/>
    </row>
    <row r="4" spans="2:31" x14ac:dyDescent="0.3">
      <c r="B4" s="3">
        <v>46041</v>
      </c>
      <c r="C4" s="1" t="s">
        <v>15</v>
      </c>
      <c r="D4" s="1" t="s">
        <v>188</v>
      </c>
      <c r="E4" s="1" t="s">
        <v>26</v>
      </c>
      <c r="H4" s="34">
        <v>31200</v>
      </c>
      <c r="J4" s="49" t="s">
        <v>214</v>
      </c>
      <c r="K4" s="1" t="s">
        <v>16</v>
      </c>
      <c r="L4" s="1" t="s">
        <v>216</v>
      </c>
      <c r="M4" s="1" t="s">
        <v>27</v>
      </c>
      <c r="N4" s="2">
        <f>IFERROR(BOLIVARES[[#This Row],[BOLIVARES2]]/BOLIVARES[[#This Row],[TASA2]],0)</f>
        <v>80</v>
      </c>
      <c r="O4" s="2">
        <v>390</v>
      </c>
      <c r="P4" s="33">
        <f>BOLIVARES[[#This Row],[BOLIVARES1]]</f>
        <v>31200</v>
      </c>
      <c r="R4" s="2">
        <f t="shared" si="0"/>
        <v>0</v>
      </c>
      <c r="S4" s="2"/>
      <c r="T4" s="1" t="s">
        <v>80</v>
      </c>
      <c r="U4" s="5">
        <f>SUMIF(BOLIVARES[DESTINO],DESTINO[[#This Row],[DESTINO]],BOLIVARES[DOLARES2])</f>
        <v>455</v>
      </c>
      <c r="V4" s="2">
        <f>SUM(Tabla14[VENTA])</f>
        <v>455</v>
      </c>
      <c r="W4" s="12">
        <f>U4-V4</f>
        <v>0</v>
      </c>
      <c r="X4" s="13"/>
      <c r="Y4" s="1" t="s">
        <v>102</v>
      </c>
      <c r="Z4" s="4">
        <f>SUMIFS(BOLIVARES[BOLIVARES1],BOLIVARES[ORIGEN],LISTAS!B4,BOLIVARES[DESTINO],LISTAS!J5)</f>
        <v>0</v>
      </c>
      <c r="AB4" s="1"/>
      <c r="AC4"/>
    </row>
    <row r="5" spans="2:31" x14ac:dyDescent="0.3">
      <c r="B5" s="3">
        <v>46041</v>
      </c>
      <c r="C5" s="1" t="s">
        <v>15</v>
      </c>
      <c r="D5" s="1" t="s">
        <v>178</v>
      </c>
      <c r="E5" s="1" t="s">
        <v>26</v>
      </c>
      <c r="H5" s="34">
        <v>80000</v>
      </c>
      <c r="J5" s="49" t="s">
        <v>227</v>
      </c>
      <c r="K5" s="1" t="s">
        <v>16</v>
      </c>
      <c r="L5" s="1" t="s">
        <v>218</v>
      </c>
      <c r="M5" s="1" t="s">
        <v>28</v>
      </c>
      <c r="N5" s="2">
        <f>IFERROR(BOLIVARES[[#This Row],[BOLIVARES2]]/BOLIVARES[[#This Row],[TASA2]],0)</f>
        <v>200</v>
      </c>
      <c r="O5" s="2">
        <v>400</v>
      </c>
      <c r="P5" s="33">
        <f>BOLIVARES[[#This Row],[BOLIVARES1]]</f>
        <v>80000</v>
      </c>
      <c r="R5" s="2">
        <f t="shared" si="0"/>
        <v>0</v>
      </c>
      <c r="S5" s="2"/>
      <c r="T5" s="1"/>
      <c r="U5"/>
      <c r="V5"/>
      <c r="W5"/>
      <c r="Y5" s="1" t="s">
        <v>103</v>
      </c>
      <c r="Z5" s="4">
        <f>SUMIF(BOLIVARES[EMISOR],LISTAS!F36,BOLIVARES[BOLIVARES1])</f>
        <v>0</v>
      </c>
      <c r="AC5"/>
    </row>
    <row r="6" spans="2:31" x14ac:dyDescent="0.3">
      <c r="B6" s="3">
        <v>46041</v>
      </c>
      <c r="C6" s="1" t="s">
        <v>16</v>
      </c>
      <c r="D6" s="1" t="s">
        <v>218</v>
      </c>
      <c r="E6" s="1" t="s">
        <v>26</v>
      </c>
      <c r="G6" s="2">
        <v>500</v>
      </c>
      <c r="H6" s="34">
        <v>100000</v>
      </c>
      <c r="J6" s="49" t="s">
        <v>228</v>
      </c>
      <c r="K6" s="1" t="s">
        <v>15</v>
      </c>
      <c r="L6" s="1" t="s">
        <v>172</v>
      </c>
      <c r="N6" s="2">
        <f>IFERROR(BOLIVARES[[#This Row],[BOLIVARES2]]/BOLIVARES[[#This Row],[TASA2]],0)</f>
        <v>0</v>
      </c>
      <c r="P6" s="33">
        <f>BOLIVARES[[#This Row],[BOLIVARES1]]</f>
        <v>100000</v>
      </c>
      <c r="R6" s="2"/>
      <c r="S6" s="2"/>
      <c r="T6" s="54" t="s">
        <v>123</v>
      </c>
      <c r="U6" s="54"/>
      <c r="V6" s="54"/>
      <c r="W6" s="54"/>
      <c r="X6" s="17"/>
      <c r="AB6" s="1"/>
      <c r="AC6"/>
    </row>
    <row r="7" spans="2:31" x14ac:dyDescent="0.3">
      <c r="B7" s="3">
        <v>46041</v>
      </c>
      <c r="C7" s="1" t="s">
        <v>16</v>
      </c>
      <c r="D7" s="1" t="s">
        <v>218</v>
      </c>
      <c r="E7" s="1" t="s">
        <v>26</v>
      </c>
      <c r="G7" s="2">
        <v>500</v>
      </c>
      <c r="H7" s="34">
        <v>50000</v>
      </c>
      <c r="J7" s="49" t="s">
        <v>229</v>
      </c>
      <c r="K7" s="1" t="s">
        <v>16</v>
      </c>
      <c r="L7" s="1" t="s">
        <v>96</v>
      </c>
      <c r="M7" s="1" t="s">
        <v>27</v>
      </c>
      <c r="N7" s="2">
        <f>IFERROR(BOLIVARES[[#This Row],[BOLIVARES2]]/BOLIVARES[[#This Row],[TASA2]],0)</f>
        <v>125</v>
      </c>
      <c r="O7" s="2">
        <v>400</v>
      </c>
      <c r="P7" s="33">
        <f>BOLIVARES[[#This Row],[BOLIVARES1]]</f>
        <v>50000</v>
      </c>
      <c r="R7" s="2"/>
      <c r="S7" s="2"/>
      <c r="T7" s="1" t="s">
        <v>121</v>
      </c>
      <c r="U7" s="11">
        <f>SUM(Tabla16[INGRESO])-AB3</f>
        <v>100000</v>
      </c>
      <c r="V7" s="11">
        <f>Z3</f>
        <v>100000</v>
      </c>
      <c r="W7" s="12">
        <f>U7-V7</f>
        <v>0</v>
      </c>
      <c r="X7" s="17"/>
      <c r="Y7" s="55" t="s">
        <v>87</v>
      </c>
      <c r="Z7" s="55"/>
      <c r="AB7" s="1"/>
      <c r="AC7"/>
    </row>
    <row r="8" spans="2:31" x14ac:dyDescent="0.3">
      <c r="I8" s="2">
        <f>BOLIVARES[[#This Row],[BOLIVARES1]]*0.003</f>
        <v>0</v>
      </c>
      <c r="N8" s="2">
        <f>IFERROR(BOLIVARES[[#This Row],[BOLIVARES2]]/BOLIVARES[[#This Row],[TASA2]],0)</f>
        <v>0</v>
      </c>
      <c r="P8" s="33">
        <f>BOLIVARES[[#This Row],[BOLIVARES1]]</f>
        <v>0</v>
      </c>
      <c r="R8" s="2"/>
      <c r="S8" s="2"/>
      <c r="T8" s="1" t="s">
        <v>122</v>
      </c>
      <c r="U8" s="2">
        <f>SUM(Tabla16[EGRESO])-AB3</f>
        <v>130700</v>
      </c>
      <c r="V8" s="11">
        <f>SUM(Z8:Z10)-Z4</f>
        <v>130700</v>
      </c>
      <c r="W8" s="20">
        <f>U8-V8</f>
        <v>0</v>
      </c>
      <c r="X8" s="17"/>
      <c r="Y8" s="1" t="s">
        <v>109</v>
      </c>
      <c r="Z8" s="4">
        <f>SUMIFS(BOLIVARES[BOLIVARES1],BOLIVARES[ORIGEN],LISTAS!B3,BOLIVARES[DESTINO],LISTAS!B4)</f>
        <v>130700</v>
      </c>
      <c r="AC8"/>
    </row>
    <row r="9" spans="2:31" x14ac:dyDescent="0.3">
      <c r="I9" s="2">
        <f>BOLIVARES[[#This Row],[BOLIVARES1]]*0.003</f>
        <v>0</v>
      </c>
      <c r="N9" s="2">
        <f>IFERROR(BOLIVARES[[#This Row],[BOLIVARES2]]/BOLIVARES[[#This Row],[TASA2]],0)</f>
        <v>0</v>
      </c>
      <c r="P9" s="33">
        <f>BOLIVARES[[#This Row],[BOLIVARES1]]</f>
        <v>0</v>
      </c>
      <c r="R9" s="2"/>
      <c r="S9" s="2"/>
      <c r="T9" s="1"/>
      <c r="U9" s="11"/>
      <c r="V9" s="11"/>
      <c r="W9"/>
      <c r="X9" s="17"/>
      <c r="Y9" s="1" t="s">
        <v>85</v>
      </c>
      <c r="Z9" s="4">
        <f>SUM(Z13:Z20)</f>
        <v>0</v>
      </c>
      <c r="AC9"/>
    </row>
    <row r="10" spans="2:31" x14ac:dyDescent="0.3">
      <c r="I10" s="2">
        <f>BOLIVARES[[#This Row],[BOLIVARES1]]*0.003</f>
        <v>0</v>
      </c>
      <c r="N10" s="2">
        <f>IFERROR(BOLIVARES[[#This Row],[BOLIVARES2]]/BOLIVARES[[#This Row],[TASA2]],0)</f>
        <v>0</v>
      </c>
      <c r="P10" s="33">
        <f>BOLIVARES[[#This Row],[BOLIVARES1]]</f>
        <v>0</v>
      </c>
      <c r="R10" s="2"/>
      <c r="S10" s="2"/>
      <c r="T10" s="54" t="s">
        <v>112</v>
      </c>
      <c r="U10" s="54"/>
      <c r="V10" s="54"/>
      <c r="W10" s="54"/>
      <c r="X10" s="17"/>
      <c r="Y10" s="1" t="s">
        <v>111</v>
      </c>
      <c r="Z10" s="4">
        <f>SUMIF(BOLIVARES[ORIGEN],LISTAS!B3,BOLIVARES[COMISION])</f>
        <v>0</v>
      </c>
      <c r="AA10" s="17"/>
      <c r="AB10" s="17"/>
      <c r="AC10"/>
    </row>
    <row r="11" spans="2:31" x14ac:dyDescent="0.3">
      <c r="I11" s="2">
        <f>BOLIVARES[[#This Row],[BOLIVARES1]]*0.003</f>
        <v>0</v>
      </c>
      <c r="N11" s="2">
        <f>IFERROR(BOLIVARES[[#This Row],[BOLIVARES2]]/BOLIVARES[[#This Row],[TASA2]],0)</f>
        <v>0</v>
      </c>
      <c r="P11" s="33">
        <f>BOLIVARES[[#This Row],[BOLIVARES1]]</f>
        <v>0</v>
      </c>
      <c r="R11" s="2"/>
      <c r="S11" s="2"/>
      <c r="T11" s="1" t="s">
        <v>108</v>
      </c>
      <c r="U11" s="11">
        <f>SUMIFS(BOLIVARES[BOLIVARES1],BOLIVARES[ORIGEN],LISTAS!B4,BOLIVARES[DESTINO],LISTAS!B4)</f>
        <v>50000</v>
      </c>
      <c r="V11" s="11">
        <f>SUM(BOLIVARES[BOLIVARES1])+SUM(BOLIVARES[COMISION])-Z3-AB3-V8-Z4</f>
        <v>50000</v>
      </c>
      <c r="W11" s="20">
        <f>U11-V11</f>
        <v>0</v>
      </c>
      <c r="X11" s="17"/>
      <c r="AB11" s="2"/>
      <c r="AC11"/>
    </row>
    <row r="12" spans="2:31" x14ac:dyDescent="0.3">
      <c r="I12" s="2">
        <f>BOLIVARES[[#This Row],[BOLIVARES1]]*0.003</f>
        <v>0</v>
      </c>
      <c r="N12" s="2">
        <f>IFERROR(BOLIVARES[[#This Row],[BOLIVARES2]]/BOLIVARES[[#This Row],[TASA2]],0)</f>
        <v>0</v>
      </c>
      <c r="P12" s="33">
        <f>BOLIVARES[[#This Row],[BOLIVARES1]]</f>
        <v>0</v>
      </c>
      <c r="R12" s="2"/>
      <c r="S12" s="2"/>
      <c r="T12" s="1"/>
      <c r="U12" s="4"/>
      <c r="W12"/>
      <c r="X12" s="17"/>
      <c r="Y12" s="19" t="s">
        <v>86</v>
      </c>
      <c r="Z12" s="18" t="s">
        <v>26</v>
      </c>
      <c r="AA12" s="18" t="s">
        <v>104</v>
      </c>
      <c r="AB12" s="1"/>
      <c r="AC12" s="19" t="s">
        <v>90</v>
      </c>
      <c r="AD12" s="18" t="s">
        <v>26</v>
      </c>
      <c r="AE12" s="18" t="s">
        <v>104</v>
      </c>
    </row>
    <row r="13" spans="2:31" x14ac:dyDescent="0.3">
      <c r="I13" s="2">
        <f>BOLIVARES[[#This Row],[BOLIVARES1]]*0.003</f>
        <v>0</v>
      </c>
      <c r="N13" s="2">
        <f>IFERROR(BOLIVARES[[#This Row],[BOLIVARES2]]/BOLIVARES[[#This Row],[TASA2]],0)</f>
        <v>0</v>
      </c>
      <c r="P13" s="33">
        <f>BOLIVARES[[#This Row],[BOLIVARES1]]</f>
        <v>0</v>
      </c>
      <c r="R13" s="2"/>
      <c r="S13" s="2"/>
      <c r="T13" s="54" t="s">
        <v>125</v>
      </c>
      <c r="U13" s="54"/>
      <c r="V13" s="54"/>
      <c r="W13" s="54"/>
      <c r="Y13" s="1" t="s">
        <v>88</v>
      </c>
      <c r="Z13" s="13">
        <f>SUM(Z25:Z29)</f>
        <v>0</v>
      </c>
      <c r="AA13" s="4">
        <f>SUM(AA25:AA29)</f>
        <v>0</v>
      </c>
      <c r="AC13" s="1" t="s">
        <v>91</v>
      </c>
      <c r="AD13" s="4">
        <f>SUMIF(BOLIVARES[RECEPTOR],LISTAS!L14,BOLIVARES[BOLIVARES2])</f>
        <v>0</v>
      </c>
      <c r="AE13" s="11">
        <f>SUMIF(Tabla12[RECEPTOR],LISTAS!L14,Tabla12[MONTO2])</f>
        <v>0</v>
      </c>
    </row>
    <row r="14" spans="2:31" x14ac:dyDescent="0.3">
      <c r="I14" s="2">
        <f>BOLIVARES[[#This Row],[BOLIVARES1]]*0.003</f>
        <v>0</v>
      </c>
      <c r="N14" s="2">
        <f>IFERROR(BOLIVARES[[#This Row],[BOLIVARES2]]/BOLIVARES[[#This Row],[TASA2]],0)</f>
        <v>0</v>
      </c>
      <c r="P14" s="33">
        <f>BOLIVARES[[#This Row],[BOLIVARES1]]</f>
        <v>0</v>
      </c>
      <c r="R14" s="2"/>
      <c r="S14" s="2"/>
      <c r="T14" s="1" t="s">
        <v>126</v>
      </c>
      <c r="U14" s="11">
        <f>SUMIF(BOLIVARES[ORIGEN],LISTAS!B4,BOLIVARES[BOLIVARES1])</f>
        <v>150000</v>
      </c>
      <c r="V14" s="11">
        <f>SUMIF(BOLIVARES[ORIGEN],LISTAS!B4,BOLIVARES[DOLARES])</f>
        <v>0</v>
      </c>
      <c r="W14" s="11">
        <f>SUMPRODUCT(BOLIVARES[DOLARES],BOLIVARES[TASA])</f>
        <v>0</v>
      </c>
      <c r="Y14" s="1" t="s">
        <v>89</v>
      </c>
      <c r="Z14" s="11">
        <f>SUM(Z32:Z38)+SUM(AB32:AB38)</f>
        <v>0</v>
      </c>
      <c r="AC14"/>
    </row>
    <row r="15" spans="2:31" x14ac:dyDescent="0.3">
      <c r="I15" s="2">
        <f>BOLIVARES[[#This Row],[BOLIVARES1]]*0.003</f>
        <v>0</v>
      </c>
      <c r="N15" s="2">
        <f>IFERROR(BOLIVARES[[#This Row],[BOLIVARES2]]/BOLIVARES[[#This Row],[TASA2]],0)</f>
        <v>0</v>
      </c>
      <c r="P15" s="33">
        <f>BOLIVARES[[#This Row],[BOLIVARES1]]</f>
        <v>0</v>
      </c>
      <c r="R15" s="2"/>
      <c r="S15" s="2"/>
      <c r="T15" s="1" t="s">
        <v>127</v>
      </c>
      <c r="U15" s="11">
        <f>SUMIF(BOLIVARES[DESTINO],LISTAS!B4,BOLIVARES[BOLIVARES2])</f>
        <v>180700</v>
      </c>
      <c r="V15" s="11">
        <f>SUMIF(BOLIVARES[DESTINO],LISTAS!B4,BOLIVARES[DOLARES2])</f>
        <v>455</v>
      </c>
      <c r="W15" s="13">
        <f>SUM(BOLIVARES[DOLARES])</f>
        <v>0</v>
      </c>
      <c r="Y15" s="1" t="s">
        <v>90</v>
      </c>
      <c r="Z15" s="11">
        <f>AD13</f>
        <v>0</v>
      </c>
      <c r="AB15" s="17"/>
      <c r="AC15"/>
    </row>
    <row r="16" spans="2:31" x14ac:dyDescent="0.3">
      <c r="I16" s="2">
        <f>BOLIVARES[[#This Row],[BOLIVARES1]]*0.003</f>
        <v>0</v>
      </c>
      <c r="N16" s="2">
        <f>IFERROR(BOLIVARES[[#This Row],[BOLIVARES2]]/BOLIVARES[[#This Row],[TASA2]],0)</f>
        <v>0</v>
      </c>
      <c r="P16" s="33">
        <f>BOLIVARES[[#This Row],[BOLIVARES1]]</f>
        <v>0</v>
      </c>
      <c r="R16" s="2"/>
      <c r="S16" s="2"/>
      <c r="T16" s="45"/>
      <c r="U16" s="41"/>
      <c r="V16" s="43">
        <f>V15-V14</f>
        <v>455</v>
      </c>
      <c r="W16" s="11"/>
      <c r="Y16" s="1" t="s">
        <v>58</v>
      </c>
      <c r="Z16" s="11">
        <f>SUMIF(BOLIVARES[RECEPTOR],LISTAS!L13,BOLIVARES[BOLIVARES2])</f>
        <v>0</v>
      </c>
      <c r="AC16"/>
    </row>
    <row r="17" spans="9:29" x14ac:dyDescent="0.3">
      <c r="I17" s="2">
        <f>BOLIVARES[[#This Row],[BOLIVARES1]]*0.003</f>
        <v>0</v>
      </c>
      <c r="N17" s="2">
        <f>IFERROR(BOLIVARES[[#This Row],[BOLIVARES2]]/BOLIVARES[[#This Row],[TASA2]],0)</f>
        <v>0</v>
      </c>
      <c r="P17" s="33">
        <f>BOLIVARES[[#This Row],[BOLIVARES1]]</f>
        <v>0</v>
      </c>
      <c r="R17" s="2"/>
      <c r="S17" s="2"/>
      <c r="T17" s="1" t="s">
        <v>156</v>
      </c>
      <c r="U17" s="11">
        <f>(U14+U19)-U15-U21-U20</f>
        <v>5240910.6099999994</v>
      </c>
      <c r="V17" s="4" t="e">
        <f>U17/U46</f>
        <v>#DIV/0!</v>
      </c>
      <c r="W17" s="13" t="e">
        <f>V17+V16</f>
        <v>#DIV/0!</v>
      </c>
      <c r="Y17" s="1" t="s">
        <v>92</v>
      </c>
      <c r="Z17" s="11">
        <f>SUMIF(BOLIVARES[RECEPTOR],LISTAS!L15,BOLIVARES[BOLIVARES2])</f>
        <v>0</v>
      </c>
      <c r="AC17"/>
    </row>
    <row r="18" spans="9:29" ht="16.2" customHeight="1" x14ac:dyDescent="0.3">
      <c r="I18" s="2">
        <f>BOLIVARES[[#This Row],[BOLIVARES1]]*0.003</f>
        <v>0</v>
      </c>
      <c r="N18" s="2">
        <f>IFERROR(BOLIVARES[[#This Row],[BOLIVARES2]]/BOLIVARES[[#This Row],[TASA2]],0)</f>
        <v>0</v>
      </c>
      <c r="P18" s="33">
        <f>BOLIVARES[[#This Row],[BOLIVARES1]]</f>
        <v>0</v>
      </c>
      <c r="R18" s="2"/>
      <c r="S18" s="2"/>
      <c r="Y18" s="1" t="s">
        <v>94</v>
      </c>
      <c r="Z18" s="11">
        <f>SUMIF(BOLIVARES[RECEPTOR],LISTAS!L16,BOLIVARES[BOLIVARES2])</f>
        <v>0</v>
      </c>
      <c r="AC18"/>
    </row>
    <row r="19" spans="9:29" ht="16.2" customHeight="1" x14ac:dyDescent="0.3">
      <c r="I19" s="2">
        <f>BOLIVARES[[#This Row],[BOLIVARES1]]*0.003</f>
        <v>0</v>
      </c>
      <c r="N19" s="2">
        <f>IFERROR(BOLIVARES[[#This Row],[BOLIVARES2]]/BOLIVARES[[#This Row],[TASA2]],0)</f>
        <v>0</v>
      </c>
      <c r="P19" s="33">
        <f>BOLIVARES[[#This Row],[BOLIVARES1]]</f>
        <v>0</v>
      </c>
      <c r="R19" s="2"/>
      <c r="S19" s="2"/>
      <c r="T19" s="1" t="s">
        <v>46</v>
      </c>
      <c r="U19" s="11">
        <f>Tabla16[[#Totals],[ACUMULADO]]</f>
        <v>5271610.6099999994</v>
      </c>
      <c r="V19" s="11">
        <f>U19/420</f>
        <v>12551.453833333331</v>
      </c>
      <c r="X19" s="13"/>
      <c r="Y19" s="1" t="s">
        <v>25</v>
      </c>
      <c r="Z19" s="11">
        <f>SUMIF(BOLIVARES[RECEPTOR],LISTAS!L17,BOLIVARES[BOLIVARES2])</f>
        <v>0</v>
      </c>
      <c r="AC19"/>
    </row>
    <row r="20" spans="9:29" ht="16.2" customHeight="1" x14ac:dyDescent="0.3">
      <c r="I20" s="2">
        <f>BOLIVARES[[#This Row],[BOLIVARES1]]*0.003</f>
        <v>0</v>
      </c>
      <c r="N20" s="2">
        <f>IFERROR(BOLIVARES[[#This Row],[BOLIVARES2]]/BOLIVARES[[#This Row],[TASA2]],0)</f>
        <v>0</v>
      </c>
      <c r="P20" s="33">
        <f>BOLIVARES[[#This Row],[BOLIVARES1]]</f>
        <v>0</v>
      </c>
      <c r="R20" s="2"/>
      <c r="S20" s="2"/>
      <c r="T20" s="38" t="s">
        <v>139</v>
      </c>
      <c r="U20" s="39">
        <f>SUMIF(BOLIVARES[DESTINO],LISTAS!J5,BOLIVARES[BOLIVARES2])</f>
        <v>0</v>
      </c>
      <c r="V20" s="39">
        <f>SUMIF(BOLIVARES[DESTINO],LISTAS!J5,BOLIVARES[DOLARES2])</f>
        <v>0</v>
      </c>
      <c r="W20"/>
      <c r="Y20" s="1" t="s">
        <v>23</v>
      </c>
      <c r="Z20" s="11">
        <f>SUMIF(BOLIVARES[RECEPTOR],LISTAS!L22,BOLIVARES[BOLIVARES2])</f>
        <v>0</v>
      </c>
      <c r="AC20"/>
    </row>
    <row r="21" spans="9:29" ht="16.2" customHeight="1" x14ac:dyDescent="0.3">
      <c r="I21" s="2">
        <f>BOLIVARES[[#This Row],[BOLIVARES1]]*0.003</f>
        <v>0</v>
      </c>
      <c r="N21" s="2">
        <f>IFERROR(BOLIVARES[[#This Row],[BOLIVARES2]]/BOLIVARES[[#This Row],[TASA2]],0)</f>
        <v>0</v>
      </c>
      <c r="P21" s="33">
        <f>BOLIVARES[[#This Row],[BOLIVARES1]]</f>
        <v>0</v>
      </c>
      <c r="R21" s="2"/>
      <c r="S21" s="2"/>
      <c r="T21" s="1" t="s">
        <v>140</v>
      </c>
      <c r="U21" s="4">
        <f>+SUM(BOLIVARES[COMISION])</f>
        <v>0</v>
      </c>
      <c r="V21" s="4" t="e">
        <f>W16/U21</f>
        <v>#DIV/0!</v>
      </c>
      <c r="W21" s="11"/>
      <c r="Y21" s="1"/>
      <c r="AB21" s="1"/>
      <c r="AC21"/>
    </row>
    <row r="22" spans="9:29" ht="16.2" customHeight="1" x14ac:dyDescent="0.3">
      <c r="I22" s="2">
        <f>BOLIVARES[[#This Row],[BOLIVARES1]]*0.003</f>
        <v>0</v>
      </c>
      <c r="N22" s="2">
        <f>IFERROR(BOLIVARES[[#This Row],[BOLIVARES2]]/BOLIVARES[[#This Row],[TASA2]],0)</f>
        <v>0</v>
      </c>
      <c r="P22" s="33">
        <f>BOLIVARES[[#This Row],[BOLIVARES1]]</f>
        <v>0</v>
      </c>
      <c r="R22" s="2"/>
      <c r="S22" s="2"/>
      <c r="T22" s="1"/>
      <c r="U22" s="4"/>
      <c r="AB22" s="1"/>
      <c r="AC22"/>
    </row>
    <row r="23" spans="9:29" ht="16.2" customHeight="1" x14ac:dyDescent="0.3">
      <c r="I23" s="2">
        <f>BOLIVARES[[#This Row],[BOLIVARES1]]*0.003</f>
        <v>0</v>
      </c>
      <c r="N23" s="2">
        <f>IFERROR(BOLIVARES[[#This Row],[BOLIVARES2]]/BOLIVARES[[#This Row],[TASA2]],0)</f>
        <v>0</v>
      </c>
      <c r="P23" s="33">
        <f>BOLIVARES[[#This Row],[BOLIVARES1]]</f>
        <v>0</v>
      </c>
      <c r="R23" s="2"/>
      <c r="S23" s="2"/>
      <c r="T23" s="1" t="s">
        <v>198</v>
      </c>
      <c r="U23" s="2">
        <f>SUM(BOLIVARES[GANANCIA DIRECTA])</f>
        <v>0</v>
      </c>
      <c r="V23" s="59" t="e">
        <f>U23+U24</f>
        <v>#DIV/0!</v>
      </c>
      <c r="AB23" s="1"/>
      <c r="AC23"/>
    </row>
    <row r="24" spans="9:29" ht="16.2" customHeight="1" x14ac:dyDescent="0.3">
      <c r="I24" s="2">
        <f>BOLIVARES[[#This Row],[BOLIVARES1]]*0.003</f>
        <v>0</v>
      </c>
      <c r="N24" s="2">
        <f>IFERROR(BOLIVARES[[#This Row],[BOLIVARES2]]/BOLIVARES[[#This Row],[TASA2]],0)</f>
        <v>0</v>
      </c>
      <c r="P24" s="33">
        <f>BOLIVARES[[#This Row],[BOLIVARES1]]</f>
        <v>0</v>
      </c>
      <c r="R24" s="2"/>
      <c r="S24" s="2"/>
      <c r="T24" s="10" t="s">
        <v>199</v>
      </c>
      <c r="U24" s="2" t="e">
        <f>W17</f>
        <v>#DIV/0!</v>
      </c>
      <c r="V24" s="59"/>
      <c r="W24" s="10"/>
      <c r="Y24" s="19" t="s">
        <v>95</v>
      </c>
      <c r="Z24" s="18" t="s">
        <v>26</v>
      </c>
      <c r="AA24" s="18" t="s">
        <v>104</v>
      </c>
      <c r="AC24"/>
    </row>
    <row r="25" spans="9:29" ht="16.2" customHeight="1" x14ac:dyDescent="0.3">
      <c r="I25" s="2">
        <f>BOLIVARES[[#This Row],[BOLIVARES1]]*0.003</f>
        <v>0</v>
      </c>
      <c r="N25" s="2">
        <f>IFERROR(BOLIVARES[[#This Row],[BOLIVARES2]]/BOLIVARES[[#This Row],[TASA2]],0)</f>
        <v>0</v>
      </c>
      <c r="P25" s="33">
        <f>BOLIVARES[[#This Row],[BOLIVARES1]]</f>
        <v>0</v>
      </c>
      <c r="R25" s="2"/>
      <c r="S25" s="2"/>
      <c r="T25" s="42"/>
      <c r="U25" s="10"/>
      <c r="V25" s="1"/>
      <c r="Y25" s="1" t="s">
        <v>20</v>
      </c>
      <c r="Z25" s="4">
        <f>SUMIF(BOLIVARES[RECEPTOR],LISTAS!L3,BOLIVARES[BOLIVARES2])</f>
        <v>0</v>
      </c>
      <c r="AA25" s="4">
        <f>SUMIF(Tabla12[RECEPTOR],LISTAS!L3,Tabla12[MONTO2])</f>
        <v>0</v>
      </c>
      <c r="AC25"/>
    </row>
    <row r="26" spans="9:29" ht="16.2" customHeight="1" x14ac:dyDescent="0.3">
      <c r="I26" s="2">
        <f>BOLIVARES[[#This Row],[BOLIVARES1]]*0.003</f>
        <v>0</v>
      </c>
      <c r="N26" s="2">
        <f>IFERROR(BOLIVARES[[#This Row],[BOLIVARES2]]/BOLIVARES[[#This Row],[TASA2]],0)</f>
        <v>0</v>
      </c>
      <c r="P26" s="33">
        <f>BOLIVARES[[#This Row],[BOLIVARES1]]</f>
        <v>0</v>
      </c>
      <c r="R26" s="2"/>
      <c r="S26" s="2"/>
      <c r="T26" s="29" t="s">
        <v>200</v>
      </c>
      <c r="U26" s="10">
        <f>SUMIFS(BOLIVARES[BOLIVARES1],BOLIVARES[ORIGEN],LISTAS!B4,BOLIVARES[DESTINO],LISTAS!B3)</f>
        <v>100000</v>
      </c>
      <c r="V26" s="5">
        <f>U26+Tabla16[[#Totals],[ACUMULADO]]</f>
        <v>5371610.6099999994</v>
      </c>
      <c r="W26" s="13"/>
      <c r="Y26" s="1" t="s">
        <v>22</v>
      </c>
      <c r="Z26" s="4">
        <f>SUMIF(BOLIVARES[RECEPTOR],LISTAS!L4,BOLIVARES[BOLIVARES2])</f>
        <v>0</v>
      </c>
      <c r="AA26" s="4">
        <f>SUMIF(Tabla12[RECEPTOR],LISTAS!L4,Tabla12[MONTO2])</f>
        <v>0</v>
      </c>
      <c r="AC26"/>
    </row>
    <row r="27" spans="9:29" ht="16.2" customHeight="1" x14ac:dyDescent="0.3">
      <c r="I27" s="2">
        <f>BOLIVARES[[#This Row],[BOLIVARES1]]*0.003</f>
        <v>0</v>
      </c>
      <c r="N27" s="2">
        <f>IFERROR(BOLIVARES[[#This Row],[BOLIVARES2]]/BOLIVARES[[#This Row],[TASA2]],0)</f>
        <v>0</v>
      </c>
      <c r="P27" s="33">
        <f>BOLIVARES[[#This Row],[BOLIVARES1]]</f>
        <v>0</v>
      </c>
      <c r="R27" s="2"/>
      <c r="S27" s="2"/>
      <c r="T27" s="1" t="s">
        <v>201</v>
      </c>
      <c r="U27" s="11">
        <f>SUMIFS(BOLIVARES[DOLARES],BOLIVARES[ORIGEN],LISTAS!B4,BOLIVARES[DESTINO],LISTAS!B3)</f>
        <v>0</v>
      </c>
      <c r="V27" s="11">
        <f>(Tabla16[[#Totals],[ACUMULADO]]/420)+BOLIVARES!U27</f>
        <v>12551.453833333331</v>
      </c>
      <c r="W27" s="13"/>
      <c r="Y27" s="1" t="s">
        <v>96</v>
      </c>
      <c r="Z27" s="4">
        <f>SUMIF(BOLIVARES[RECEPTOR],LISTAS!L5,BOLIVARES[BOLIVARES2])</f>
        <v>0</v>
      </c>
      <c r="AA27" s="4">
        <f>SUMIF(Tabla12[RECEPTOR],LISTAS!L5,Tabla12[MONTO2])</f>
        <v>0</v>
      </c>
      <c r="AC27"/>
    </row>
    <row r="28" spans="9:29" ht="16.2" customHeight="1" x14ac:dyDescent="0.3">
      <c r="I28" s="2">
        <f>BOLIVARES[[#This Row],[BOLIVARES1]]*0.003</f>
        <v>0</v>
      </c>
      <c r="N28" s="2">
        <f>IFERROR(BOLIVARES[[#This Row],[BOLIVARES2]]/BOLIVARES[[#This Row],[TASA2]],0)</f>
        <v>0</v>
      </c>
      <c r="P28" s="33">
        <f>BOLIVARES[[#This Row],[BOLIVARES1]]</f>
        <v>0</v>
      </c>
      <c r="R28" s="2"/>
      <c r="S28" s="2"/>
      <c r="T28" s="1" t="s">
        <v>202</v>
      </c>
      <c r="U28" s="4">
        <f>SUMIFS(BOLIVARES[DOLARES2],BOLIVARES[ORIGEN],LISTAS!B3,BOLIVARES[DESTINO],LISTAS!B4)</f>
        <v>330</v>
      </c>
      <c r="V28" s="4">
        <f>U28</f>
        <v>330</v>
      </c>
      <c r="W28" s="13"/>
      <c r="Y28" s="1" t="s">
        <v>98</v>
      </c>
      <c r="Z28" s="4">
        <f>SUMIF(BOLIVARES[RECEPTOR],LISTAS!L6,BOLIVARES[BOLIVARES2])</f>
        <v>0</v>
      </c>
      <c r="AA28" s="4">
        <f>SUMIF(Tabla12[RECEPTOR],LISTAS!L6,Tabla12[MONTO2])</f>
        <v>0</v>
      </c>
      <c r="AC28"/>
    </row>
    <row r="29" spans="9:29" ht="16.2" customHeight="1" x14ac:dyDescent="0.3">
      <c r="I29" s="2">
        <f>BOLIVARES[[#This Row],[BOLIVARES1]]*0.003</f>
        <v>0</v>
      </c>
      <c r="N29" s="2">
        <f>IFERROR(BOLIVARES[[#This Row],[BOLIVARES2]]/BOLIVARES[[#This Row],[TASA2]],0)</f>
        <v>0</v>
      </c>
      <c r="P29" s="33">
        <f>BOLIVARES[[#This Row],[BOLIVARES1]]</f>
        <v>0</v>
      </c>
      <c r="R29" s="2"/>
      <c r="S29" s="2"/>
      <c r="T29" s="41" t="s">
        <v>203</v>
      </c>
      <c r="U29" s="43">
        <f>U28-U27</f>
        <v>330</v>
      </c>
      <c r="V29" s="43">
        <f>V28-V27</f>
        <v>-12221.453833333331</v>
      </c>
      <c r="W29"/>
      <c r="Y29" s="1" t="s">
        <v>97</v>
      </c>
      <c r="Z29" s="4">
        <f>SUMIF(BOLIVARES[RECEPTOR],LISTAS!L7,BOLIVARES[BOLIVARES2])</f>
        <v>0</v>
      </c>
      <c r="AA29" s="4">
        <f>SUMIF(Tabla12[RECEPTOR],LISTAS!L7,Tabla12[MONTO2])</f>
        <v>0</v>
      </c>
      <c r="AC29"/>
    </row>
    <row r="30" spans="9:29" ht="16.2" customHeight="1" x14ac:dyDescent="0.3">
      <c r="I30" s="2">
        <f>BOLIVARES[[#This Row],[BOLIVARES1]]*0.003</f>
        <v>0</v>
      </c>
      <c r="N30" s="2">
        <f>IFERROR(BOLIVARES[[#This Row],[BOLIVARES2]]/BOLIVARES[[#This Row],[TASA2]],0)</f>
        <v>0</v>
      </c>
      <c r="P30" s="33">
        <f>BOLIVARES[[#This Row],[BOLIVARES1]]</f>
        <v>0</v>
      </c>
      <c r="R30" s="2"/>
      <c r="S30" s="2"/>
      <c r="T30" s="1" t="s">
        <v>204</v>
      </c>
      <c r="U30" s="4">
        <f>SUMIFS(BOLIVARES[BOLIVARES1],BOLIVARES[ORIGEN],LISTAS!B3,BOLIVARES[DESTINO],LISTAS!B4)</f>
        <v>130700</v>
      </c>
      <c r="W30" s="13"/>
      <c r="Y30" s="1"/>
      <c r="AC30"/>
    </row>
    <row r="31" spans="9:29" ht="16.2" customHeight="1" x14ac:dyDescent="0.3">
      <c r="I31" s="2">
        <f>BOLIVARES[[#This Row],[BOLIVARES1]]*0.003</f>
        <v>0</v>
      </c>
      <c r="N31" s="2">
        <f>IFERROR(BOLIVARES[[#This Row],[BOLIVARES2]]/BOLIVARES[[#This Row],[TASA2]],0)</f>
        <v>0</v>
      </c>
      <c r="P31" s="33">
        <f>BOLIVARES[[#This Row],[BOLIVARES1]]</f>
        <v>0</v>
      </c>
      <c r="R31" s="2"/>
      <c r="S31" s="2"/>
      <c r="T31" s="1" t="s">
        <v>203</v>
      </c>
      <c r="U31" s="4">
        <f>U26-U30</f>
        <v>-30700</v>
      </c>
      <c r="V31" s="5"/>
      <c r="W31"/>
      <c r="Y31" s="19" t="s">
        <v>100</v>
      </c>
      <c r="Z31" s="18" t="s">
        <v>26</v>
      </c>
      <c r="AA31" s="18" t="s">
        <v>104</v>
      </c>
      <c r="AB31" s="18" t="s">
        <v>113</v>
      </c>
      <c r="AC31" s="21"/>
    </row>
    <row r="32" spans="9:29" ht="16.2" customHeight="1" x14ac:dyDescent="0.3">
      <c r="I32" s="2">
        <f>BOLIVARES[[#This Row],[BOLIVARES1]]*0.003</f>
        <v>0</v>
      </c>
      <c r="N32" s="2">
        <f>IFERROR(BOLIVARES[[#This Row],[BOLIVARES2]]/BOLIVARES[[#This Row],[TASA2]],0)</f>
        <v>0</v>
      </c>
      <c r="P32" s="33">
        <f>BOLIVARES[[#This Row],[BOLIVARES1]]</f>
        <v>0</v>
      </c>
      <c r="R32" s="2"/>
      <c r="S32" s="2"/>
      <c r="T32" s="1" t="s">
        <v>205</v>
      </c>
      <c r="U32" s="4" t="e">
        <f>U31/U46</f>
        <v>#DIV/0!</v>
      </c>
      <c r="W32"/>
      <c r="Y32" s="1" t="s">
        <v>99</v>
      </c>
      <c r="Z32" s="4">
        <f>SUMIF(BOLIVARES[RECEPTOR],LISTAS!L8,BOLIVARES[BOLIVARES2])</f>
        <v>0</v>
      </c>
      <c r="AA32" s="11">
        <f>SUMIF(Tabla12[RECEPTOR],LISTAS!L8,Tabla12[MONTO2])</f>
        <v>0</v>
      </c>
      <c r="AB32" s="4">
        <f>SUMIF(BOLIVARES[RECEPTOR],LISTAS!L18,BOLIVARES[BOLIVARES2])</f>
        <v>0</v>
      </c>
      <c r="AC32"/>
    </row>
    <row r="33" spans="1:32" ht="16.2" customHeight="1" x14ac:dyDescent="0.3">
      <c r="I33" s="2">
        <f>BOLIVARES[[#This Row],[BOLIVARES1]]*0.003</f>
        <v>0</v>
      </c>
      <c r="N33" s="2">
        <f>IFERROR(BOLIVARES[[#This Row],[BOLIVARES2]]/BOLIVARES[[#This Row],[TASA2]],0)</f>
        <v>0</v>
      </c>
      <c r="P33" s="33">
        <f>BOLIVARES[[#This Row],[BOLIVARES1]]</f>
        <v>0</v>
      </c>
      <c r="R33" s="2"/>
      <c r="S33" s="2"/>
      <c r="T33" s="41" t="s">
        <v>206</v>
      </c>
      <c r="U33" s="44" t="e">
        <f>U32+U29</f>
        <v>#DIV/0!</v>
      </c>
      <c r="Y33" s="1" t="s">
        <v>20</v>
      </c>
      <c r="Z33" s="4">
        <f>SUMIF(BOLIVARES[RECEPTOR],LISTAS!L9,BOLIVARES[BOLIVARES2])</f>
        <v>0</v>
      </c>
      <c r="AA33" s="11">
        <f>SUMIF(Tabla12[RECEPTOR],LISTAS!L9,Tabla12[MONTO2])</f>
        <v>0</v>
      </c>
      <c r="AB33" s="4">
        <f>SUMIF(BOLIVARES[RECEPTOR],LISTAS!L19,BOLIVARES[BOLIVARES2])</f>
        <v>0</v>
      </c>
      <c r="AC33"/>
    </row>
    <row r="34" spans="1:32" ht="16.2" customHeight="1" x14ac:dyDescent="0.3">
      <c r="I34" s="2">
        <f>BOLIVARES[[#This Row],[BOLIVARES1]]*0.003</f>
        <v>0</v>
      </c>
      <c r="N34" s="2">
        <f>IFERROR(BOLIVARES[[#This Row],[BOLIVARES2]]/BOLIVARES[[#This Row],[TASA2]],0)</f>
        <v>0</v>
      </c>
      <c r="P34" s="33">
        <f>BOLIVARES[[#This Row],[BOLIVARES1]]</f>
        <v>0</v>
      </c>
      <c r="R34" s="2"/>
      <c r="S34" s="2"/>
      <c r="Y34" s="1"/>
      <c r="Z34" s="4"/>
      <c r="AA34" s="11"/>
      <c r="AB34" s="4"/>
      <c r="AC34"/>
    </row>
    <row r="35" spans="1:32" ht="16.2" customHeight="1" x14ac:dyDescent="0.3">
      <c r="I35" s="2">
        <f>BOLIVARES[[#This Row],[BOLIVARES1]]*0.003</f>
        <v>0</v>
      </c>
      <c r="N35" s="2">
        <f>IFERROR(BOLIVARES[[#This Row],[BOLIVARES2]]/BOLIVARES[[#This Row],[TASA2]],0)</f>
        <v>0</v>
      </c>
      <c r="P35" s="33">
        <f>BOLIVARES[[#This Row],[BOLIVARES1]]</f>
        <v>0</v>
      </c>
      <c r="R35" s="2"/>
      <c r="S35" s="2"/>
      <c r="Y35" s="1" t="s">
        <v>96</v>
      </c>
      <c r="Z35" s="4">
        <f>SUMIF(BOLIVARES[RECEPTOR],LISTAS!L10,BOLIVARES[BOLIVARES2])</f>
        <v>0</v>
      </c>
      <c r="AA35" s="11">
        <f>SUMIF(Tabla12[RECEPTOR],LISTAS!L10,Tabla12[MONTO2])</f>
        <v>0</v>
      </c>
      <c r="AB35" s="4">
        <f>SUMIF(BOLIVARES[RECEPTOR],LISTAS!L20,BOLIVARES[BOLIVARES2])</f>
        <v>0</v>
      </c>
      <c r="AC35"/>
    </row>
    <row r="36" spans="1:32" ht="16.2" customHeight="1" x14ac:dyDescent="0.3">
      <c r="A36" s="52"/>
      <c r="I36" s="2">
        <f>BOLIVARES[[#This Row],[BOLIVARES1]]*0.003</f>
        <v>0</v>
      </c>
      <c r="N36" s="2">
        <f>IFERROR(BOLIVARES[[#This Row],[BOLIVARES2]]/BOLIVARES[[#This Row],[TASA2]],0)</f>
        <v>0</v>
      </c>
      <c r="P36" s="33">
        <f>BOLIVARES[[#This Row],[BOLIVARES1]]</f>
        <v>0</v>
      </c>
      <c r="R36" s="2"/>
      <c r="S36" s="2"/>
      <c r="T36" s="1" t="s">
        <v>158</v>
      </c>
      <c r="U36" s="4">
        <f>SUMIFS(BOLIVARES[BOLIVARES1],BOLIVARES[ORIGEN],LISTAS!B3,BOLIVARES[DESTINO],LISTAS!B4)</f>
        <v>130700</v>
      </c>
      <c r="V36" s="4">
        <f>Tabla16[[#Totals],[SALDO]]</f>
        <v>5240910.6099999994</v>
      </c>
      <c r="W36" s="24"/>
      <c r="Y36" s="1" t="s">
        <v>21</v>
      </c>
      <c r="Z36" s="4">
        <f>SUMIF(BOLIVARES[RECEPTOR],LISTAS!L11,BOLIVARES[BOLIVARES2])</f>
        <v>0</v>
      </c>
      <c r="AA36" s="11">
        <f>SUMIF(Tabla12[RECEPTOR],LISTAS!L11,Tabla12[MONTO2])</f>
        <v>0</v>
      </c>
      <c r="AB36" s="4">
        <f>SUMIF(BOLIVARES[RECEPTOR],LISTAS!L21,BOLIVARES[BOLIVARES2])</f>
        <v>0</v>
      </c>
      <c r="AC36"/>
    </row>
    <row r="37" spans="1:32" ht="16.2" customHeight="1" x14ac:dyDescent="0.3">
      <c r="A37" s="52"/>
      <c r="I37" s="2">
        <f>BOLIVARES[[#This Row],[BOLIVARES1]]*0.003</f>
        <v>0</v>
      </c>
      <c r="N37" s="2">
        <f>IFERROR(BOLIVARES[[#This Row],[BOLIVARES2]]/BOLIVARES[[#This Row],[TASA2]],0)</f>
        <v>0</v>
      </c>
      <c r="P37" s="33">
        <f>BOLIVARES[[#This Row],[BOLIVARES1]]</f>
        <v>0</v>
      </c>
      <c r="R37" s="2"/>
      <c r="S37" s="2"/>
      <c r="T37" s="1" t="s">
        <v>159</v>
      </c>
      <c r="U37" s="4">
        <v>64182</v>
      </c>
      <c r="V37" s="4">
        <f>V36/300</f>
        <v>17469.702033333331</v>
      </c>
      <c r="W37" s="24">
        <f>V37+U37</f>
        <v>81651.702033333335</v>
      </c>
      <c r="Y37" s="1" t="s">
        <v>138</v>
      </c>
      <c r="Z37" s="4">
        <f>SUMIF(BOLIVARES[RECEPTOR],LISTAS!L12,BOLIVARES[BOLIVARES2])</f>
        <v>0</v>
      </c>
      <c r="AA37" s="11">
        <f>SUMIF(Tabla12[RECEPTOR],LISTAS!L12,Tabla12[MONTO2])</f>
        <v>0</v>
      </c>
      <c r="AB37" s="4">
        <f>SUMIF(BOLIVARES[RECEPTOR],LISTAS!L25,BOLIVARES[BOLIVARES2])</f>
        <v>0</v>
      </c>
      <c r="AC37"/>
    </row>
    <row r="38" spans="1:32" ht="16.2" customHeight="1" x14ac:dyDescent="0.3">
      <c r="A38" s="52"/>
      <c r="I38" s="2">
        <f>BOLIVARES[[#This Row],[BOLIVARES1]]*0.003</f>
        <v>0</v>
      </c>
      <c r="N38" s="2">
        <f>IFERROR(BOLIVARES[[#This Row],[BOLIVARES2]]/BOLIVARES[[#This Row],[TASA2]],0)</f>
        <v>0</v>
      </c>
      <c r="P38" s="33">
        <f>BOLIVARES[[#This Row],[BOLIVARES1]]</f>
        <v>0</v>
      </c>
      <c r="R38" s="2"/>
      <c r="S38" s="2"/>
      <c r="T38" s="1"/>
      <c r="U38" s="4"/>
      <c r="W38" s="24">
        <f>W37-V27</f>
        <v>69100.248200000002</v>
      </c>
      <c r="AB38" s="4"/>
      <c r="AC38"/>
    </row>
    <row r="39" spans="1:32" ht="16.2" customHeight="1" x14ac:dyDescent="0.3">
      <c r="A39" s="52"/>
      <c r="I39" s="2">
        <f>BOLIVARES[[#This Row],[BOLIVARES1]]*0.003</f>
        <v>0</v>
      </c>
      <c r="N39" s="2">
        <f>IFERROR(BOLIVARES[[#This Row],[BOLIVARES2]]/BOLIVARES[[#This Row],[TASA2]],0)</f>
        <v>0</v>
      </c>
      <c r="P39" s="33">
        <f>BOLIVARES[[#This Row],[BOLIVARES1]]</f>
        <v>0</v>
      </c>
      <c r="R39" s="2"/>
      <c r="S39" s="2"/>
      <c r="T39" s="1"/>
      <c r="U39" s="4"/>
      <c r="W39" s="24"/>
      <c r="AC39"/>
    </row>
    <row r="40" spans="1:32" ht="16.2" customHeight="1" x14ac:dyDescent="0.3">
      <c r="A40" s="52"/>
      <c r="I40" s="2">
        <f>BOLIVARES[[#This Row],[BOLIVARES1]]*0.003</f>
        <v>0</v>
      </c>
      <c r="N40" s="2">
        <f>IFERROR(BOLIVARES[[#This Row],[BOLIVARES2]]/BOLIVARES[[#This Row],[TASA2]],0)</f>
        <v>0</v>
      </c>
      <c r="P40" s="33">
        <f>BOLIVARES[[#This Row],[BOLIVARES1]]</f>
        <v>0</v>
      </c>
      <c r="R40" s="2"/>
      <c r="S40" s="2"/>
      <c r="T40" s="1"/>
      <c r="U40" s="4"/>
      <c r="W40" s="24"/>
      <c r="AC40"/>
    </row>
    <row r="41" spans="1:32" ht="16.2" customHeight="1" x14ac:dyDescent="0.3">
      <c r="A41" s="52"/>
      <c r="I41" s="2">
        <f>BOLIVARES[[#This Row],[BOLIVARES1]]*0.003</f>
        <v>0</v>
      </c>
      <c r="N41" s="2">
        <f>IFERROR(BOLIVARES[[#This Row],[BOLIVARES2]]/BOLIVARES[[#This Row],[TASA2]],0)</f>
        <v>0</v>
      </c>
      <c r="P41" s="33">
        <f>BOLIVARES[[#This Row],[BOLIVARES1]]</f>
        <v>0</v>
      </c>
      <c r="R41" s="2"/>
      <c r="S41" s="2"/>
      <c r="T41" s="1"/>
      <c r="U41" s="4"/>
      <c r="W41"/>
      <c r="AC41"/>
    </row>
    <row r="42" spans="1:32" ht="16.2" customHeight="1" x14ac:dyDescent="0.3">
      <c r="A42" s="52"/>
      <c r="I42" s="2">
        <f>BOLIVARES[[#This Row],[BOLIVARES1]]*0.003</f>
        <v>0</v>
      </c>
      <c r="L42" s="49"/>
      <c r="N42" s="2">
        <f>IFERROR(BOLIVARES[[#This Row],[BOLIVARES2]]/BOLIVARES[[#This Row],[TASA2]],0)</f>
        <v>0</v>
      </c>
      <c r="P42" s="33">
        <f>BOLIVARES[[#This Row],[BOLIVARES1]]</f>
        <v>0</v>
      </c>
      <c r="R42" s="2"/>
      <c r="S42" s="2"/>
      <c r="T42" s="1"/>
      <c r="U42" s="4"/>
      <c r="W42"/>
      <c r="Y42" s="22" t="s">
        <v>20</v>
      </c>
      <c r="Z42" s="4">
        <f>BANCOS!D3+BANCOS!D9+BANCOS!D15+BANCOS!D18+BANCOS!D20+BANCOS!D23+BANCOS!D25+BANCOS!D27</f>
        <v>0</v>
      </c>
      <c r="AA42" s="4"/>
      <c r="AB42" s="4">
        <f>Z42-AA42</f>
        <v>0</v>
      </c>
      <c r="AC42" s="4">
        <f>AB42*0.003</f>
        <v>0</v>
      </c>
      <c r="AD42" s="4">
        <f>AB33</f>
        <v>0</v>
      </c>
      <c r="AE42" s="4">
        <f>AC42-AD42</f>
        <v>0</v>
      </c>
      <c r="AF42" s="13">
        <f>AC42/300</f>
        <v>0</v>
      </c>
    </row>
    <row r="43" spans="1:32" ht="16.2" customHeight="1" x14ac:dyDescent="0.3">
      <c r="A43" s="52"/>
      <c r="I43" s="2">
        <f>BOLIVARES[[#This Row],[BOLIVARES1]]*0.003</f>
        <v>0</v>
      </c>
      <c r="N43" s="2">
        <f>IFERROR(BOLIVARES[[#This Row],[BOLIVARES2]]/BOLIVARES[[#This Row],[TASA2]],0)</f>
        <v>0</v>
      </c>
      <c r="P43" s="33">
        <f>BOLIVARES[[#This Row],[BOLIVARES1]]</f>
        <v>0</v>
      </c>
      <c r="R43" s="2"/>
      <c r="S43" s="2"/>
      <c r="T43" s="1"/>
      <c r="U43" s="4"/>
      <c r="W43"/>
      <c r="Y43" s="22" t="s">
        <v>96</v>
      </c>
      <c r="Z43" s="4">
        <f>BANCOS!D10+BANCOS!D11+BANCOS!D19+BANCOS!D26</f>
        <v>0</v>
      </c>
      <c r="AA43" s="4"/>
      <c r="AB43" s="4">
        <f>Z43-AA43</f>
        <v>0</v>
      </c>
      <c r="AC43" s="4">
        <f>AB43*0.003</f>
        <v>0</v>
      </c>
      <c r="AD43" s="4">
        <f>AB35</f>
        <v>0</v>
      </c>
      <c r="AE43" s="4">
        <f>AC43-AD43</f>
        <v>0</v>
      </c>
      <c r="AF43" s="13">
        <f>AC43/300</f>
        <v>0</v>
      </c>
    </row>
    <row r="44" spans="1:32" ht="16.2" customHeight="1" x14ac:dyDescent="0.3">
      <c r="A44" s="52"/>
      <c r="I44" s="2">
        <f>BOLIVARES[[#This Row],[BOLIVARES1]]*0.003</f>
        <v>0</v>
      </c>
      <c r="N44" s="2">
        <f>IFERROR(BOLIVARES[[#This Row],[BOLIVARES2]]/BOLIVARES[[#This Row],[TASA2]],0)</f>
        <v>0</v>
      </c>
      <c r="P44" s="33">
        <f>BOLIVARES[[#This Row],[BOLIVARES1]]</f>
        <v>0</v>
      </c>
      <c r="R44" s="2"/>
      <c r="S44" s="2"/>
      <c r="T44" s="1"/>
      <c r="U44" s="4"/>
      <c r="W44"/>
      <c r="Y44" s="22" t="s">
        <v>138</v>
      </c>
      <c r="Z44" s="4">
        <f>BANCOS!D5</f>
        <v>0</v>
      </c>
      <c r="AA44" s="4"/>
      <c r="AB44" s="4">
        <f>Z44-AA44</f>
        <v>0</v>
      </c>
      <c r="AC44" s="4">
        <f>AB44*0.003</f>
        <v>0</v>
      </c>
      <c r="AD44" s="4">
        <f>AB37</f>
        <v>0</v>
      </c>
      <c r="AE44" s="4">
        <f>AC44-AD44</f>
        <v>0</v>
      </c>
    </row>
    <row r="45" spans="1:32" ht="16.2" customHeight="1" x14ac:dyDescent="0.3">
      <c r="A45" s="52"/>
      <c r="I45" s="2">
        <f>BOLIVARES[[#This Row],[BOLIVARES1]]*0.003</f>
        <v>0</v>
      </c>
      <c r="N45" s="2">
        <f>IFERROR(BOLIVARES[[#This Row],[BOLIVARES2]]/BOLIVARES[[#This Row],[TASA2]],0)</f>
        <v>0</v>
      </c>
      <c r="P45" s="33">
        <f>BOLIVARES[[#This Row],[BOLIVARES1]]</f>
        <v>0</v>
      </c>
      <c r="R45" s="2"/>
      <c r="S45" s="2"/>
      <c r="T45" s="1"/>
      <c r="U45" s="23"/>
      <c r="V45" s="23"/>
      <c r="W45"/>
      <c r="Y45" s="22" t="s">
        <v>19</v>
      </c>
      <c r="Z45" s="13">
        <f>BANCOS!D21+BANCOS!D4</f>
        <v>0</v>
      </c>
      <c r="AB45" s="1"/>
      <c r="AC45"/>
    </row>
    <row r="46" spans="1:32" ht="16.2" customHeight="1" x14ac:dyDescent="0.3">
      <c r="A46" s="52"/>
      <c r="I46" s="2">
        <f>BOLIVARES[[#This Row],[BOLIVARES1]]*0.003</f>
        <v>0</v>
      </c>
      <c r="N46" s="2">
        <f>IFERROR(BOLIVARES[[#This Row],[BOLIVARES2]]/BOLIVARES[[#This Row],[TASA2]],0)</f>
        <v>0</v>
      </c>
      <c r="P46" s="33">
        <f>BOLIVARES[[#This Row],[BOLIVARES1]]</f>
        <v>0</v>
      </c>
      <c r="R46" s="2"/>
      <c r="S46" s="2"/>
      <c r="T46" s="58"/>
      <c r="U46" s="57"/>
      <c r="V46" s="23"/>
      <c r="W46"/>
      <c r="AC46"/>
    </row>
    <row r="47" spans="1:32" ht="16.2" customHeight="1" x14ac:dyDescent="0.3">
      <c r="A47" s="52"/>
      <c r="I47" s="2">
        <f>BOLIVARES[[#This Row],[BOLIVARES1]]*0.003</f>
        <v>0</v>
      </c>
      <c r="N47" s="2">
        <f>IFERROR(BOLIVARES[[#This Row],[BOLIVARES2]]/BOLIVARES[[#This Row],[TASA2]],0)</f>
        <v>0</v>
      </c>
      <c r="P47" s="33">
        <f>BOLIVARES[[#This Row],[BOLIVARES1]]</f>
        <v>0</v>
      </c>
      <c r="R47" s="2"/>
      <c r="S47" s="2"/>
      <c r="T47" s="58"/>
      <c r="U47" s="57"/>
      <c r="V47" s="23"/>
      <c r="W47"/>
      <c r="AA47" s="4"/>
      <c r="AC47"/>
    </row>
    <row r="48" spans="1:32" x14ac:dyDescent="0.3">
      <c r="I48" s="2">
        <f>BOLIVARES[[#This Row],[BOLIVARES1]]*0.003</f>
        <v>0</v>
      </c>
      <c r="N48" s="2">
        <f>IFERROR(BOLIVARES[[#This Row],[BOLIVARES2]]/BOLIVARES[[#This Row],[TASA2]],0)</f>
        <v>0</v>
      </c>
      <c r="P48" s="33">
        <f>BOLIVARES[[#This Row],[BOLIVARES1]]</f>
        <v>0</v>
      </c>
      <c r="R48" s="2"/>
      <c r="T48" s="1"/>
      <c r="U48" s="23"/>
      <c r="V48" s="23"/>
      <c r="W48"/>
      <c r="AB48" s="1"/>
      <c r="AC48"/>
    </row>
    <row r="49" spans="9:29" x14ac:dyDescent="0.3">
      <c r="I49" s="2">
        <f>BOLIVARES[[#This Row],[BOLIVARES1]]*0.003</f>
        <v>0</v>
      </c>
      <c r="N49" s="2">
        <f>IFERROR(BOLIVARES[[#This Row],[BOLIVARES2]]/BOLIVARES[[#This Row],[TASA2]],0)</f>
        <v>0</v>
      </c>
      <c r="P49" s="33">
        <f>BOLIVARES[[#This Row],[BOLIVARES1]]</f>
        <v>0</v>
      </c>
      <c r="R49" s="2"/>
      <c r="T49" s="1"/>
      <c r="U49" s="4"/>
      <c r="W49"/>
      <c r="AB49" s="1"/>
      <c r="AC49"/>
    </row>
    <row r="50" spans="9:29" x14ac:dyDescent="0.3">
      <c r="I50" s="2">
        <f>BOLIVARES[[#This Row],[BOLIVARES1]]*0.003</f>
        <v>0</v>
      </c>
      <c r="N50" s="2">
        <f>IFERROR(BOLIVARES[[#This Row],[BOLIVARES2]]/BOLIVARES[[#This Row],[TASA2]],0)</f>
        <v>0</v>
      </c>
      <c r="P50" s="33">
        <f>BOLIVARES[[#This Row],[BOLIVARES1]]</f>
        <v>0</v>
      </c>
      <c r="R50" s="2"/>
      <c r="T50" s="1"/>
      <c r="U50" s="4"/>
      <c r="W50"/>
      <c r="AB50" s="1"/>
      <c r="AC50"/>
    </row>
    <row r="51" spans="9:29" x14ac:dyDescent="0.3">
      <c r="I51" s="2">
        <f>BOLIVARES[[#This Row],[BOLIVARES1]]*0.003</f>
        <v>0</v>
      </c>
      <c r="N51" s="2">
        <f>IFERROR(BOLIVARES[[#This Row],[BOLIVARES2]]/BOLIVARES[[#This Row],[TASA2]],0)</f>
        <v>0</v>
      </c>
      <c r="P51" s="33">
        <f>BOLIVARES[[#This Row],[BOLIVARES1]]</f>
        <v>0</v>
      </c>
      <c r="R51" s="2"/>
      <c r="T51" s="1"/>
      <c r="U51" s="4"/>
      <c r="W51"/>
      <c r="AB51" s="1"/>
      <c r="AC51"/>
    </row>
    <row r="52" spans="9:29" x14ac:dyDescent="0.3">
      <c r="I52" s="2">
        <f>BOLIVARES[[#This Row],[BOLIVARES1]]*0.003</f>
        <v>0</v>
      </c>
      <c r="N52" s="2">
        <f>IFERROR(BOLIVARES[[#This Row],[BOLIVARES2]]/BOLIVARES[[#This Row],[TASA2]],0)</f>
        <v>0</v>
      </c>
      <c r="P52" s="33">
        <f>BOLIVARES[[#This Row],[BOLIVARES1]]</f>
        <v>0</v>
      </c>
      <c r="R52" s="2"/>
      <c r="T52" s="1"/>
      <c r="U52" s="4"/>
      <c r="W52"/>
      <c r="AB52" s="1"/>
      <c r="AC52"/>
    </row>
    <row r="53" spans="9:29" x14ac:dyDescent="0.3">
      <c r="I53" s="2">
        <f>BOLIVARES[[#This Row],[BOLIVARES1]]*0.003</f>
        <v>0</v>
      </c>
      <c r="N53" s="2">
        <f>IFERROR(BOLIVARES[[#This Row],[BOLIVARES2]]/BOLIVARES[[#This Row],[TASA2]],0)</f>
        <v>0</v>
      </c>
      <c r="P53" s="33">
        <f>BOLIVARES[[#This Row],[BOLIVARES1]]</f>
        <v>0</v>
      </c>
      <c r="R53" s="2"/>
      <c r="T53" s="1"/>
      <c r="U53" s="4"/>
      <c r="W53"/>
      <c r="AB53" s="1"/>
      <c r="AC53"/>
    </row>
    <row r="54" spans="9:29" x14ac:dyDescent="0.3">
      <c r="I54" s="2">
        <f>BOLIVARES[[#This Row],[BOLIVARES1]]*0.003</f>
        <v>0</v>
      </c>
      <c r="N54" s="2">
        <f>IFERROR(BOLIVARES[[#This Row],[BOLIVARES2]]/BOLIVARES[[#This Row],[TASA2]],0)</f>
        <v>0</v>
      </c>
      <c r="P54" s="33">
        <f>BOLIVARES[[#This Row],[BOLIVARES1]]</f>
        <v>0</v>
      </c>
      <c r="R54" s="2"/>
      <c r="T54" s="1"/>
      <c r="U54" s="4"/>
      <c r="W54"/>
      <c r="AB54" s="1"/>
      <c r="AC54"/>
    </row>
    <row r="55" spans="9:29" x14ac:dyDescent="0.3">
      <c r="I55" s="2">
        <f>BOLIVARES[[#This Row],[BOLIVARES1]]*0.003</f>
        <v>0</v>
      </c>
      <c r="N55" s="2">
        <f>IFERROR(BOLIVARES[[#This Row],[BOLIVARES2]]/BOLIVARES[[#This Row],[TASA2]],0)</f>
        <v>0</v>
      </c>
      <c r="P55" s="33">
        <f>BOLIVARES[[#This Row],[BOLIVARES1]]</f>
        <v>0</v>
      </c>
      <c r="R55" s="2"/>
      <c r="T55" s="1"/>
      <c r="U55" s="4"/>
      <c r="W55"/>
      <c r="AB55" s="1"/>
      <c r="AC55"/>
    </row>
    <row r="56" spans="9:29" x14ac:dyDescent="0.3">
      <c r="I56" s="2">
        <f>BOLIVARES[[#This Row],[BOLIVARES1]]*0.003</f>
        <v>0</v>
      </c>
      <c r="N56" s="2">
        <f>IFERROR(BOLIVARES[[#This Row],[BOLIVARES2]]/BOLIVARES[[#This Row],[TASA2]],0)</f>
        <v>0</v>
      </c>
      <c r="P56" s="33">
        <f>BOLIVARES[[#This Row],[BOLIVARES1]]</f>
        <v>0</v>
      </c>
      <c r="R56" s="2"/>
      <c r="T56" s="1"/>
      <c r="U56" s="4"/>
      <c r="W56"/>
      <c r="AB56" s="1"/>
      <c r="AC56"/>
    </row>
    <row r="57" spans="9:29" x14ac:dyDescent="0.3">
      <c r="I57" s="2">
        <f>BOLIVARES[[#This Row],[BOLIVARES1]]*0.003</f>
        <v>0</v>
      </c>
      <c r="N57" s="2">
        <f>IFERROR(BOLIVARES[[#This Row],[BOLIVARES2]]/BOLIVARES[[#This Row],[TASA2]],0)</f>
        <v>0</v>
      </c>
      <c r="P57" s="33">
        <f>BOLIVARES[[#This Row],[BOLIVARES1]]</f>
        <v>0</v>
      </c>
      <c r="R57" s="2"/>
      <c r="T57" s="1"/>
      <c r="U57" s="4"/>
      <c r="W57"/>
      <c r="AB57" s="1"/>
      <c r="AC57"/>
    </row>
    <row r="58" spans="9:29" x14ac:dyDescent="0.3">
      <c r="I58" s="2">
        <f>BOLIVARES[[#This Row],[BOLIVARES1]]*0.003</f>
        <v>0</v>
      </c>
      <c r="N58" s="2">
        <f>IFERROR(BOLIVARES[[#This Row],[BOLIVARES2]]/BOLIVARES[[#This Row],[TASA2]],0)</f>
        <v>0</v>
      </c>
      <c r="P58" s="33">
        <f>BOLIVARES[[#This Row],[BOLIVARES1]]</f>
        <v>0</v>
      </c>
      <c r="R58" s="2"/>
      <c r="T58" s="1"/>
      <c r="U58" s="4"/>
      <c r="W58"/>
      <c r="AB58" s="1"/>
      <c r="AC58"/>
    </row>
    <row r="59" spans="9:29" x14ac:dyDescent="0.3">
      <c r="I59" s="2">
        <f>BOLIVARES[[#This Row],[BOLIVARES1]]*0.003</f>
        <v>0</v>
      </c>
      <c r="N59" s="2">
        <f>IFERROR(BOLIVARES[[#This Row],[BOLIVARES2]]/BOLIVARES[[#This Row],[TASA2]],0)</f>
        <v>0</v>
      </c>
      <c r="P59" s="33">
        <f>BOLIVARES[[#This Row],[BOLIVARES1]]</f>
        <v>0</v>
      </c>
      <c r="R59" s="2"/>
      <c r="T59" s="2">
        <f t="shared" ref="T59:T61" si="1">W3</f>
        <v>0</v>
      </c>
      <c r="U59" s="4"/>
      <c r="W59"/>
      <c r="AB59" s="1"/>
      <c r="AC59"/>
    </row>
    <row r="60" spans="9:29" x14ac:dyDescent="0.3">
      <c r="I60" s="2">
        <f>BOLIVARES[[#This Row],[BOLIVARES1]]*0.003</f>
        <v>0</v>
      </c>
      <c r="N60" s="2">
        <f>IFERROR(BOLIVARES[[#This Row],[BOLIVARES2]]/BOLIVARES[[#This Row],[TASA2]],0)</f>
        <v>0</v>
      </c>
      <c r="P60" s="33">
        <f>BOLIVARES[[#This Row],[BOLIVARES1]]</f>
        <v>0</v>
      </c>
      <c r="R60" s="2"/>
      <c r="T60" s="2">
        <f t="shared" si="1"/>
        <v>0</v>
      </c>
      <c r="U60" s="4"/>
      <c r="W60"/>
      <c r="AB60" s="1"/>
      <c r="AC60"/>
    </row>
    <row r="61" spans="9:29" x14ac:dyDescent="0.3">
      <c r="I61" s="2">
        <f>BOLIVARES[[#This Row],[BOLIVARES1]]*0.003</f>
        <v>0</v>
      </c>
      <c r="N61" s="2">
        <f>IFERROR(BOLIVARES[[#This Row],[BOLIVARES2]]/BOLIVARES[[#This Row],[TASA2]],0)</f>
        <v>0</v>
      </c>
      <c r="P61" s="33">
        <f>BOLIVARES[[#This Row],[BOLIVARES1]]</f>
        <v>0</v>
      </c>
      <c r="R61" s="2"/>
      <c r="T61" s="2">
        <f t="shared" si="1"/>
        <v>0</v>
      </c>
      <c r="U61" s="4"/>
      <c r="W61"/>
      <c r="AB61" s="1"/>
      <c r="AC61"/>
    </row>
  </sheetData>
  <sortState xmlns:xlrd2="http://schemas.microsoft.com/office/spreadsheetml/2017/richdata2" ref="Y32:Y37">
    <sortCondition ref="Y32:Y37"/>
  </sortState>
  <mergeCells count="12">
    <mergeCell ref="A36:A47"/>
    <mergeCell ref="T10:W10"/>
    <mergeCell ref="T6:W6"/>
    <mergeCell ref="Y7:Z7"/>
    <mergeCell ref="AB2:AC2"/>
    <mergeCell ref="AB3:AC3"/>
    <mergeCell ref="T13:W13"/>
    <mergeCell ref="Y2:Z2"/>
    <mergeCell ref="T2:W2"/>
    <mergeCell ref="U46:U47"/>
    <mergeCell ref="T46:T47"/>
    <mergeCell ref="V23:V24"/>
  </mergeCells>
  <phoneticPr fontId="3" type="noConversion"/>
  <dataValidations count="2">
    <dataValidation type="list" allowBlank="1" showInputMessage="1" showErrorMessage="1" sqref="L43:L61 L3:L41" xr:uid="{C03DC21B-5EBD-6149-BE23-F239F0B30553}">
      <formula1>INDIRECT($K3)</formula1>
    </dataValidation>
    <dataValidation type="list" allowBlank="1" showInputMessage="1" showErrorMessage="1" sqref="D3:D61" xr:uid="{CEC516ED-2857-F743-B4E5-6D8349067812}">
      <formula1>INDIRECT($C3)</formula1>
    </dataValidation>
  </dataValidations>
  <pageMargins left="0.7" right="0.7" top="0.75" bottom="0.75" header="0.3" footer="0.3"/>
  <pageSetup orientation="portrait" horizontalDpi="0" verticalDpi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4BCF6EF-832E-8444-AD35-980AB7F037BB}">
          <x14:formula1>
            <xm:f>OFFSET(LISTAS!$H$2,1,0,COUNTA(LISTAS!$H:$H)-1)</xm:f>
          </x14:formula1>
          <xm:sqref>M3:M55 M58:M59 E3:E61</xm:sqref>
        </x14:dataValidation>
        <x14:dataValidation type="list" allowBlank="1" showInputMessage="1" showErrorMessage="1" xr:uid="{EE86BFDA-AD22-D64F-ACFE-C94622D06B92}">
          <x14:formula1>
            <xm:f>OFFSET(LISTAS!$B$2,1,0,COUNTA(LISTAS!$B:$B)-1)</xm:f>
          </x14:formula1>
          <xm:sqref>C3:C61</xm:sqref>
        </x14:dataValidation>
        <x14:dataValidation type="list" allowBlank="1" showInputMessage="1" showErrorMessage="1" xr:uid="{8F45C94F-F011-C64F-BC39-DC55B6886080}">
          <x14:formula1>
            <xm:f>OFFSET(LISTAS!$J$2,1,0,COUNTA(LISTAS!$J:$J)-1)</xm:f>
          </x14:formula1>
          <xm:sqref>K3:K61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E447E-24B1-F247-86D2-7EB913C693AB}">
  <dimension ref="B1:R14"/>
  <sheetViews>
    <sheetView topLeftCell="A2" zoomScale="94" workbookViewId="0">
      <selection activeCell="D28" sqref="D27:D28"/>
    </sheetView>
  </sheetViews>
  <sheetFormatPr baseColWidth="10" defaultColWidth="11" defaultRowHeight="15.6" x14ac:dyDescent="0.3"/>
  <cols>
    <col min="2" max="3" width="20.69921875" customWidth="1"/>
    <col min="4" max="4" width="38.19921875" style="31" customWidth="1"/>
    <col min="5" max="7" width="20.69921875" customWidth="1"/>
    <col min="8" max="11" width="20.69921875" style="35" customWidth="1"/>
    <col min="12" max="12" width="32.19921875" customWidth="1"/>
    <col min="14" max="14" width="33" customWidth="1"/>
    <col min="18" max="18" width="13.19921875" customWidth="1"/>
  </cols>
  <sheetData>
    <row r="1" spans="2:18" x14ac:dyDescent="0.3">
      <c r="H1"/>
      <c r="I1"/>
      <c r="J1"/>
      <c r="K1"/>
    </row>
    <row r="2" spans="2:18" ht="16.2" thickBot="1" x14ac:dyDescent="0.35">
      <c r="B2" s="14" t="s">
        <v>0</v>
      </c>
      <c r="C2" s="15" t="s">
        <v>61</v>
      </c>
      <c r="D2" s="30" t="s">
        <v>84</v>
      </c>
      <c r="E2" s="28" t="s">
        <v>65</v>
      </c>
      <c r="F2" s="28" t="s">
        <v>66</v>
      </c>
      <c r="G2" s="25" t="s">
        <v>142</v>
      </c>
      <c r="H2" s="37" t="s">
        <v>55</v>
      </c>
      <c r="I2" s="37" t="s">
        <v>67</v>
      </c>
      <c r="J2" s="32" t="s">
        <v>152</v>
      </c>
      <c r="K2" s="32" t="s">
        <v>153</v>
      </c>
      <c r="L2" s="32" t="s">
        <v>128</v>
      </c>
      <c r="N2" s="60" t="s">
        <v>83</v>
      </c>
      <c r="O2" s="60"/>
      <c r="P2" s="60"/>
      <c r="Q2" s="60"/>
      <c r="R2" s="60"/>
    </row>
    <row r="3" spans="2:18" x14ac:dyDescent="0.3">
      <c r="B3" s="3">
        <v>46218</v>
      </c>
      <c r="C3" s="1" t="s">
        <v>225</v>
      </c>
      <c r="D3" s="49" t="s">
        <v>96</v>
      </c>
      <c r="E3" s="11">
        <v>900</v>
      </c>
      <c r="F3" s="11">
        <v>1000</v>
      </c>
      <c r="G3" s="13"/>
      <c r="H3" s="36">
        <f>CAMBIOS[[#This Row],[RECIBIDO ]]-CAMBIOS[[#This Row],[ENVIAR ]]</f>
        <v>-100</v>
      </c>
      <c r="I3" s="36">
        <f>IFERROR(CAMBIOS[[#This Row],[DIFERENCIA]]*100/CAMBIOS[[#This Row],[ENVIAR ]],0)</f>
        <v>-10</v>
      </c>
      <c r="J3" s="36">
        <f>CAMBIOS[[#This Row],[DIFERENCIA]]-CAMBIOS[[#This Row],[COSTOS DE ENVÍO]]</f>
        <v>-100</v>
      </c>
      <c r="K3" s="36">
        <f>IFERROR((CAMBIOS[[#This Row],[DIFERENCIA]]-CAMBIOS[[#This Row],[COSTOS DE ENVÍO]])*100/CAMBIOS[[#This Row],[ENVIAR ]],0)</f>
        <v>-10</v>
      </c>
      <c r="N3" t="s">
        <v>137</v>
      </c>
      <c r="O3" s="13">
        <f>SUM(CAMBIOS[DIFERENCIA])</f>
        <v>-100</v>
      </c>
      <c r="P3" s="13">
        <f>SUM(Tabla14[COMISION])</f>
        <v>-100</v>
      </c>
      <c r="Q3" s="13">
        <f>SUM(CAMBIOS[COSTOS DE ENVÍO])</f>
        <v>0</v>
      </c>
      <c r="R3" s="13">
        <f>O3-P3</f>
        <v>0</v>
      </c>
    </row>
    <row r="4" spans="2:18" x14ac:dyDescent="0.3">
      <c r="B4" s="3"/>
      <c r="C4" s="1"/>
      <c r="D4" s="49"/>
      <c r="E4" s="11"/>
      <c r="F4" s="11"/>
      <c r="G4" s="13"/>
      <c r="H4" s="36">
        <f>CAMBIOS[[#This Row],[RECIBIDO ]]-CAMBIOS[[#This Row],[ENVIAR ]]</f>
        <v>0</v>
      </c>
      <c r="I4" s="36">
        <f>IFERROR(CAMBIOS[[#This Row],[DIFERENCIA]]*100/CAMBIOS[[#This Row],[ENVIAR ]],0)</f>
        <v>0</v>
      </c>
      <c r="J4" s="36">
        <f>CAMBIOS[[#This Row],[DIFERENCIA]]-CAMBIOS[[#This Row],[COSTOS DE ENVÍO]]</f>
        <v>0</v>
      </c>
      <c r="K4" s="36">
        <f>IFERROR((CAMBIOS[[#This Row],[DIFERENCIA]]-CAMBIOS[[#This Row],[COSTOS DE ENVÍO]])*100/CAMBIOS[[#This Row],[ENVIAR ]],0)</f>
        <v>0</v>
      </c>
      <c r="N4" t="s">
        <v>154</v>
      </c>
      <c r="O4" s="4">
        <f>SUM(CAMBIOS[COSTOS DE ENVÍO])</f>
        <v>0</v>
      </c>
    </row>
    <row r="5" spans="2:18" x14ac:dyDescent="0.3">
      <c r="B5" s="3"/>
      <c r="C5" s="1"/>
      <c r="D5" s="49"/>
      <c r="E5" s="11"/>
      <c r="F5" s="11"/>
      <c r="G5" s="23"/>
      <c r="H5" s="36">
        <f>CAMBIOS[[#This Row],[RECIBIDO ]]-CAMBIOS[[#This Row],[ENVIAR ]]</f>
        <v>0</v>
      </c>
      <c r="I5" s="36">
        <f>IFERROR(CAMBIOS[[#This Row],[DIFERENCIA]]*100/CAMBIOS[[#This Row],[ENVIAR ]],0)</f>
        <v>0</v>
      </c>
      <c r="J5" s="36">
        <f>CAMBIOS[[#This Row],[DIFERENCIA]]-CAMBIOS[[#This Row],[COSTOS DE ENVÍO]]</f>
        <v>0</v>
      </c>
      <c r="K5" s="36">
        <f>IFERROR((CAMBIOS[[#This Row],[DIFERENCIA]]-CAMBIOS[[#This Row],[COSTOS DE ENVÍO]])*100/CAMBIOS[[#This Row],[ENVIAR ]],0)</f>
        <v>0</v>
      </c>
      <c r="O5" s="13"/>
    </row>
    <row r="6" spans="2:18" x14ac:dyDescent="0.3">
      <c r="B6" s="3"/>
      <c r="C6" s="1"/>
      <c r="D6" s="49"/>
      <c r="E6" s="11"/>
      <c r="F6" s="23"/>
      <c r="G6" s="23"/>
      <c r="H6" s="36">
        <f>CAMBIOS[[#This Row],[RECIBIDO ]]-CAMBIOS[[#This Row],[ENVIAR ]]</f>
        <v>0</v>
      </c>
      <c r="I6" s="36">
        <f>IFERROR(CAMBIOS[[#This Row],[DIFERENCIA]]*100/CAMBIOS[[#This Row],[ENVIAR ]],0)</f>
        <v>0</v>
      </c>
      <c r="J6" s="36">
        <f>CAMBIOS[[#This Row],[DIFERENCIA]]-CAMBIOS[[#This Row],[COSTOS DE ENVÍO]]</f>
        <v>0</v>
      </c>
      <c r="K6" s="36">
        <f>IFERROR((CAMBIOS[[#This Row],[DIFERENCIA]]-CAMBIOS[[#This Row],[COSTOS DE ENVÍO]])*100/CAMBIOS[[#This Row],[ENVIAR ]],0)</f>
        <v>0</v>
      </c>
      <c r="L6" s="1"/>
    </row>
    <row r="7" spans="2:18" x14ac:dyDescent="0.3">
      <c r="B7" s="3"/>
      <c r="C7" s="1"/>
      <c r="D7" s="1"/>
      <c r="E7" s="11"/>
      <c r="F7" s="23"/>
      <c r="G7" s="11"/>
      <c r="H7" s="36">
        <f>CAMBIOS[[#This Row],[RECIBIDO ]]-CAMBIOS[[#This Row],[ENVIAR ]]</f>
        <v>0</v>
      </c>
      <c r="I7" s="36">
        <f>IFERROR(CAMBIOS[[#This Row],[DIFERENCIA]]*100/CAMBIOS[[#This Row],[ENVIAR ]],0)</f>
        <v>0</v>
      </c>
      <c r="J7" s="36">
        <f>CAMBIOS[[#This Row],[DIFERENCIA]]-CAMBIOS[[#This Row],[COSTOS DE ENVÍO]]</f>
        <v>0</v>
      </c>
      <c r="K7" s="36">
        <f>IFERROR((CAMBIOS[[#This Row],[DIFERENCIA]]-CAMBIOS[[#This Row],[COSTOS DE ENVÍO]])*100/CAMBIOS[[#This Row],[ENVIAR ]],0)</f>
        <v>0</v>
      </c>
      <c r="L7" s="1"/>
      <c r="P7" s="13"/>
      <c r="Q7" s="13"/>
      <c r="R7" s="13"/>
    </row>
    <row r="8" spans="2:18" x14ac:dyDescent="0.3">
      <c r="B8" s="3"/>
      <c r="C8" s="1"/>
      <c r="D8" s="49"/>
      <c r="E8" s="11"/>
      <c r="F8" s="23"/>
      <c r="G8" s="11"/>
      <c r="H8" s="36">
        <f>CAMBIOS[[#This Row],[RECIBIDO ]]-CAMBIOS[[#This Row],[ENVIAR ]]</f>
        <v>0</v>
      </c>
      <c r="I8" s="36">
        <f>IFERROR(CAMBIOS[[#This Row],[DIFERENCIA]]*100/CAMBIOS[[#This Row],[ENVIAR ]],0)</f>
        <v>0</v>
      </c>
      <c r="J8" s="36">
        <f>CAMBIOS[[#This Row],[DIFERENCIA]]-CAMBIOS[[#This Row],[COSTOS DE ENVÍO]]</f>
        <v>0</v>
      </c>
      <c r="K8" s="36">
        <f>IFERROR((CAMBIOS[[#This Row],[DIFERENCIA]]-CAMBIOS[[#This Row],[COSTOS DE ENVÍO]])*100/CAMBIOS[[#This Row],[ENVIAR ]],0)</f>
        <v>0</v>
      </c>
      <c r="L8" s="1"/>
      <c r="O8" s="13"/>
      <c r="P8" s="13"/>
      <c r="Q8" s="13"/>
      <c r="R8" s="13"/>
    </row>
    <row r="9" spans="2:18" x14ac:dyDescent="0.3">
      <c r="B9" s="3"/>
      <c r="C9" s="1"/>
      <c r="D9" s="49"/>
      <c r="E9" s="11"/>
      <c r="F9" s="23"/>
      <c r="G9" s="11"/>
      <c r="H9" s="36">
        <f>CAMBIOS[[#This Row],[RECIBIDO ]]-CAMBIOS[[#This Row],[ENVIAR ]]</f>
        <v>0</v>
      </c>
      <c r="I9" s="36">
        <f>IFERROR(CAMBIOS[[#This Row],[DIFERENCIA]]*100/CAMBIOS[[#This Row],[ENVIAR ]],0)</f>
        <v>0</v>
      </c>
      <c r="J9" s="36">
        <f>CAMBIOS[[#This Row],[DIFERENCIA]]-CAMBIOS[[#This Row],[COSTOS DE ENVÍO]]</f>
        <v>0</v>
      </c>
      <c r="K9" s="36">
        <f>IFERROR((CAMBIOS[[#This Row],[DIFERENCIA]]-CAMBIOS[[#This Row],[COSTOS DE ENVÍO]])*100/CAMBIOS[[#This Row],[ENVIAR ]],0)</f>
        <v>0</v>
      </c>
      <c r="L9" s="1"/>
      <c r="N9" t="s">
        <v>143</v>
      </c>
      <c r="O9" s="4">
        <f>SUMIF(Tabla12[RECEPTOR],LISTAS!L26,Tabla12[MONTO2])</f>
        <v>0</v>
      </c>
    </row>
    <row r="10" spans="2:18" x14ac:dyDescent="0.3">
      <c r="B10" s="3"/>
      <c r="C10" s="1"/>
      <c r="D10" s="49"/>
      <c r="E10" s="11"/>
      <c r="F10" s="23"/>
      <c r="G10" s="11"/>
      <c r="H10" s="36">
        <f>CAMBIOS[[#This Row],[RECIBIDO ]]-CAMBIOS[[#This Row],[ENVIAR ]]</f>
        <v>0</v>
      </c>
      <c r="I10" s="36">
        <f>IFERROR(CAMBIOS[[#This Row],[DIFERENCIA]]*100/CAMBIOS[[#This Row],[ENVIAR ]],0)</f>
        <v>0</v>
      </c>
      <c r="J10" s="36">
        <f>CAMBIOS[[#This Row],[DIFERENCIA]]-CAMBIOS[[#This Row],[COSTOS DE ENVÍO]]</f>
        <v>0</v>
      </c>
      <c r="K10" s="36">
        <f>IFERROR((CAMBIOS[[#This Row],[DIFERENCIA]]-CAMBIOS[[#This Row],[COSTOS DE ENVÍO]])*100/CAMBIOS[[#This Row],[ENVIAR ]],0)</f>
        <v>0</v>
      </c>
      <c r="L10" s="1"/>
      <c r="N10" t="s">
        <v>144</v>
      </c>
      <c r="O10" s="13">
        <f>O9-SUM(CAMBIOS[COSTOS DE ENVÍO])</f>
        <v>0</v>
      </c>
    </row>
    <row r="11" spans="2:18" x14ac:dyDescent="0.3">
      <c r="B11" s="3"/>
      <c r="C11" s="1"/>
      <c r="D11" s="49"/>
      <c r="E11" s="11"/>
      <c r="F11" s="23"/>
      <c r="G11" s="11"/>
      <c r="H11" s="36">
        <f>CAMBIOS[[#This Row],[RECIBIDO ]]-CAMBIOS[[#This Row],[ENVIAR ]]</f>
        <v>0</v>
      </c>
      <c r="I11" s="36">
        <f>IFERROR(CAMBIOS[[#This Row],[DIFERENCIA]]*100/CAMBIOS[[#This Row],[ENVIAR ]],0)</f>
        <v>0</v>
      </c>
      <c r="J11" s="36">
        <f>CAMBIOS[[#This Row],[DIFERENCIA]]-CAMBIOS[[#This Row],[COSTOS DE ENVÍO]]</f>
        <v>0</v>
      </c>
      <c r="K11" s="36">
        <f>IFERROR((CAMBIOS[[#This Row],[DIFERENCIA]]-CAMBIOS[[#This Row],[COSTOS DE ENVÍO]])*100/CAMBIOS[[#This Row],[ENVIAR ]],0)</f>
        <v>0</v>
      </c>
      <c r="L11" s="1"/>
    </row>
    <row r="12" spans="2:18" x14ac:dyDescent="0.3">
      <c r="B12" s="3"/>
      <c r="C12" s="1"/>
      <c r="D12" s="49"/>
      <c r="E12" s="11"/>
      <c r="F12" s="23"/>
      <c r="G12" s="11"/>
      <c r="H12" s="36">
        <f>CAMBIOS[[#This Row],[RECIBIDO ]]-CAMBIOS[[#This Row],[ENVIAR ]]</f>
        <v>0</v>
      </c>
      <c r="I12" s="36">
        <f>IFERROR(CAMBIOS[[#This Row],[DIFERENCIA]]*100/CAMBIOS[[#This Row],[ENVIAR ]],0)</f>
        <v>0</v>
      </c>
      <c r="J12" s="36">
        <f>CAMBIOS[[#This Row],[DIFERENCIA]]-CAMBIOS[[#This Row],[COSTOS DE ENVÍO]]</f>
        <v>0</v>
      </c>
      <c r="K12" s="36">
        <f>IFERROR((CAMBIOS[[#This Row],[DIFERENCIA]]-CAMBIOS[[#This Row],[COSTOS DE ENVÍO]])*100/CAMBIOS[[#This Row],[ENVIAR ]],0)</f>
        <v>0</v>
      </c>
      <c r="L12" s="1"/>
    </row>
    <row r="13" spans="2:18" x14ac:dyDescent="0.3">
      <c r="B13" s="3"/>
      <c r="C13" s="1"/>
      <c r="D13" s="49"/>
      <c r="E13" s="11"/>
      <c r="F13" s="23"/>
      <c r="G13" s="11"/>
      <c r="H13" s="36">
        <f>CAMBIOS[[#This Row],[RECIBIDO ]]-CAMBIOS[[#This Row],[ENVIAR ]]</f>
        <v>0</v>
      </c>
      <c r="I13" s="36">
        <f>IFERROR(CAMBIOS[[#This Row],[DIFERENCIA]]*100/CAMBIOS[[#This Row],[ENVIAR ]],0)</f>
        <v>0</v>
      </c>
      <c r="J13" s="36">
        <f>CAMBIOS[[#This Row],[DIFERENCIA]]-CAMBIOS[[#This Row],[COSTOS DE ENVÍO]]</f>
        <v>0</v>
      </c>
      <c r="K13" s="36">
        <f>IFERROR((CAMBIOS[[#This Row],[DIFERENCIA]]-CAMBIOS[[#This Row],[COSTOS DE ENVÍO]])*100/CAMBIOS[[#This Row],[ENVIAR ]],0)</f>
        <v>0</v>
      </c>
      <c r="L13" s="1"/>
    </row>
    <row r="14" spans="2:18" x14ac:dyDescent="0.3">
      <c r="B14" s="3"/>
      <c r="C14" s="1"/>
      <c r="D14" s="49"/>
      <c r="E14" s="11"/>
      <c r="F14" s="23"/>
      <c r="G14" s="11"/>
      <c r="H14" s="36">
        <f>CAMBIOS[[#This Row],[RECIBIDO ]]-CAMBIOS[[#This Row],[ENVIAR ]]</f>
        <v>0</v>
      </c>
      <c r="I14" s="36">
        <f>IFERROR(CAMBIOS[[#This Row],[DIFERENCIA]]*100/CAMBIOS[[#This Row],[ENVIAR ]],0)</f>
        <v>0</v>
      </c>
      <c r="J14" s="36">
        <f>CAMBIOS[[#This Row],[DIFERENCIA]]-CAMBIOS[[#This Row],[COSTOS DE ENVÍO]]</f>
        <v>0</v>
      </c>
      <c r="K14" s="36">
        <f>IFERROR((CAMBIOS[[#This Row],[DIFERENCIA]]-CAMBIOS[[#This Row],[COSTOS DE ENVÍO]])*100/CAMBIOS[[#This Row],[ENVIAR ]],0)</f>
        <v>0</v>
      </c>
      <c r="L14" s="1"/>
    </row>
  </sheetData>
  <mergeCells count="1">
    <mergeCell ref="N2:R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3BE8E7-5F83-7D47-A9C8-9FAD1FB8423A}">
          <x14:formula1>
            <xm:f>OFFSET(LISTAS!$D$2,1,0,COUNTA(LISTAS!$D:$D)-1)</xm:f>
          </x14:formula1>
          <xm:sqref>D3:D6 D8:D14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D46F5-AB08-8E43-B64E-D73A1D1A6BF2}">
  <dimension ref="B2:M141"/>
  <sheetViews>
    <sheetView zoomScale="63" zoomScaleNormal="89" workbookViewId="0">
      <selection activeCell="C5" sqref="C5"/>
    </sheetView>
  </sheetViews>
  <sheetFormatPr baseColWidth="10" defaultColWidth="11" defaultRowHeight="15.6" x14ac:dyDescent="0.3"/>
  <cols>
    <col min="2" max="2" width="28.69921875" style="1" customWidth="1"/>
    <col min="3" max="3" width="13.3984375" style="10" customWidth="1"/>
    <col min="4" max="4" width="11.796875" style="10" customWidth="1"/>
    <col min="5" max="5" width="11.796875" style="1" customWidth="1"/>
    <col min="6" max="8" width="11.796875" style="10" customWidth="1"/>
    <col min="9" max="9" width="11.796875" customWidth="1"/>
    <col min="10" max="10" width="14.69921875" customWidth="1"/>
    <col min="11" max="11" width="14" customWidth="1"/>
    <col min="12" max="12" width="15.19921875" customWidth="1"/>
  </cols>
  <sheetData>
    <row r="2" spans="2:11" x14ac:dyDescent="0.3">
      <c r="B2" s="1" t="s">
        <v>2</v>
      </c>
      <c r="C2" s="10" t="s">
        <v>219</v>
      </c>
      <c r="D2" s="10" t="s">
        <v>49</v>
      </c>
      <c r="E2" s="1" t="s">
        <v>50</v>
      </c>
      <c r="F2" s="10" t="s">
        <v>48</v>
      </c>
      <c r="G2" s="10" t="s">
        <v>51</v>
      </c>
      <c r="H2" s="10" t="s">
        <v>7</v>
      </c>
      <c r="I2" s="10" t="s">
        <v>47</v>
      </c>
      <c r="J2" s="10" t="s">
        <v>197</v>
      </c>
      <c r="K2" s="1" t="s">
        <v>195</v>
      </c>
    </row>
    <row r="3" spans="2:11" x14ac:dyDescent="0.3">
      <c r="B3" s="1" t="str">
        <f>Tabla3[[#This Row],[CLIENTES]]</f>
        <v>EVELIO RAMIREZ</v>
      </c>
      <c r="C3" s="10">
        <v>100</v>
      </c>
      <c r="D3" s="10">
        <f>SUMIF(BOLIVARES[EMISOR],Tabla3[[#This Row],[CLIENTES]],BOLIVARES[DOLARES])</f>
        <v>0</v>
      </c>
      <c r="E3" s="10">
        <f>SUMIF(BOLIVARES[RECEPTOR],Tabla3[[#This Row],[CLIENTES]],BOLIVARES[DOLARES2])</f>
        <v>130</v>
      </c>
      <c r="F3" s="10">
        <f>SUMIF(Tabla12[EMISOR2],Tabla3[[#This Row],[CLIENTES]],Tabla12[MONTO])</f>
        <v>0</v>
      </c>
      <c r="G3" s="10">
        <f>SUMIF(Tabla12[RECEPTOR],Tabla3[[#This Row],[CLIENTES]],Tabla12[MONTO2])</f>
        <v>900</v>
      </c>
      <c r="H3" s="10">
        <f>SUMIF(CAMBIOS[SOLIICTANTES],Tabla3[[#This Row],[CLIENTES]],CAMBIOS[DIFERENCIA])+
SUMIF(CAMBIOS[SOLIICTANTES],Tabla3[[#This Row],[CLIENTES]],CAMBIOS[COSTOS DE ENVÍO])</f>
        <v>0</v>
      </c>
      <c r="I3" s="10">
        <f>Tabla14[[#This Row],[PENDIENTE]]+Tabla14[[#This Row],[VENTA]]+Tabla14[[#This Row],[RETIRO]]-Tabla14[[#This Row],[COMPRA]]-Tabla14[[#This Row],[PAGO]]+Tabla14[[#This Row],[COMISION]]</f>
        <v>1130</v>
      </c>
      <c r="J3" s="10" t="s">
        <v>220</v>
      </c>
      <c r="K3" s="3"/>
    </row>
    <row r="4" spans="2:11" x14ac:dyDescent="0.3">
      <c r="B4" s="1" t="str">
        <f>Tabla3[[#This Row],[CLIENTES]]</f>
        <v>JOHANA RODRIGUEZ</v>
      </c>
      <c r="C4" s="10">
        <v>3000</v>
      </c>
      <c r="D4" s="10">
        <f>SUMIF(BOLIVARES[EMISOR],Tabla3[[#This Row],[CLIENTES]],BOLIVARES[DOLARES])</f>
        <v>0</v>
      </c>
      <c r="E4" s="10">
        <f>SUMIF(BOLIVARES[RECEPTOR],Tabla3[[#This Row],[CLIENTES]],BOLIVARES[DOLARES2])</f>
        <v>0</v>
      </c>
      <c r="F4" s="10">
        <f>SUMIF(Tabla12[EMISOR2],Tabla3[[#This Row],[CLIENTES]],Tabla12[MONTO])</f>
        <v>0</v>
      </c>
      <c r="G4" s="10">
        <f>SUMIF(Tabla12[RECEPTOR],Tabla3[[#This Row],[CLIENTES]],Tabla12[MONTO2])</f>
        <v>0</v>
      </c>
      <c r="H4" s="10">
        <f>SUMIF(CAMBIOS[SOLIICTANTES],Tabla3[[#This Row],[CLIENTES]],CAMBIOS[DIFERENCIA])+
SUMIF(CAMBIOS[SOLIICTANTES],Tabla3[[#This Row],[CLIENTES]],CAMBIOS[COSTOS DE ENVÍO])</f>
        <v>0</v>
      </c>
      <c r="I4" s="10">
        <f>Tabla14[[#This Row],[PENDIENTE]]+Tabla14[[#This Row],[VENTA]]+Tabla14[[#This Row],[RETIRO]]-Tabla14[[#This Row],[COMPRA]]-Tabla14[[#This Row],[PAGO]]+Tabla14[[#This Row],[COMISION]]</f>
        <v>3000</v>
      </c>
      <c r="J4" s="10" t="s">
        <v>221</v>
      </c>
      <c r="K4" s="3"/>
    </row>
    <row r="5" spans="2:11" x14ac:dyDescent="0.3">
      <c r="B5" s="1" t="str">
        <f>Tabla3[[#This Row],[CLIENTES]]</f>
        <v xml:space="preserve">KAROL MALDONADO </v>
      </c>
      <c r="D5" s="10">
        <f>SUMIF(BOLIVARES[EMISOR],Tabla3[[#This Row],[CLIENTES]],BOLIVARES[DOLARES])</f>
        <v>0</v>
      </c>
      <c r="E5" s="10">
        <f>SUMIF(BOLIVARES[RECEPTOR],Tabla3[[#This Row],[CLIENTES]],BOLIVARES[DOLARES2])</f>
        <v>200</v>
      </c>
      <c r="F5" s="10">
        <f>SUMIF(Tabla12[EMISOR2],Tabla3[[#This Row],[CLIENTES]],Tabla12[MONTO])</f>
        <v>0</v>
      </c>
      <c r="G5" s="10">
        <f>SUMIF(Tabla12[RECEPTOR],Tabla3[[#This Row],[CLIENTES]],Tabla12[MONTO2])</f>
        <v>0</v>
      </c>
      <c r="H5" s="10">
        <f>SUMIF(CAMBIOS[SOLIICTANTES],Tabla3[[#This Row],[CLIENTES]],CAMBIOS[DIFERENCIA])+
SUMIF(CAMBIOS[SOLIICTANTES],Tabla3[[#This Row],[CLIENTES]],CAMBIOS[COSTOS DE ENVÍO])</f>
        <v>0</v>
      </c>
      <c r="I5" s="10">
        <f>Tabla14[[#This Row],[PENDIENTE]]+Tabla14[[#This Row],[VENTA]]+Tabla14[[#This Row],[RETIRO]]-Tabla14[[#This Row],[COMPRA]]-Tabla14[[#This Row],[PAGO]]+Tabla14[[#This Row],[COMISION]]</f>
        <v>200</v>
      </c>
      <c r="J5" s="10" t="s">
        <v>222</v>
      </c>
      <c r="K5" s="3"/>
    </row>
    <row r="6" spans="2:11" x14ac:dyDescent="0.3">
      <c r="B6" s="1" t="str">
        <f>Tabla3[[#This Row],[CLIENTES]]</f>
        <v>SARAH ALVAREZ</v>
      </c>
      <c r="D6" s="10">
        <f>SUMIF(BOLIVARES[EMISOR],Tabla3[[#This Row],[CLIENTES]],BOLIVARES[DOLARES])</f>
        <v>0</v>
      </c>
      <c r="E6" s="10">
        <f>SUMIF(BOLIVARES[RECEPTOR],Tabla3[[#This Row],[CLIENTES]],BOLIVARES[DOLARES2])</f>
        <v>125</v>
      </c>
      <c r="F6" s="10">
        <f>SUMIF(Tabla12[EMISOR2],Tabla3[[#This Row],[CLIENTES]],Tabla12[MONTO])</f>
        <v>900</v>
      </c>
      <c r="G6" s="10">
        <f>SUMIF(Tabla12[RECEPTOR],Tabla3[[#This Row],[CLIENTES]],Tabla12[MONTO2])</f>
        <v>1000</v>
      </c>
      <c r="H6" s="10">
        <f>SUMIF(CAMBIOS[SOLIICTANTES],Tabla3[[#This Row],[CLIENTES]],CAMBIOS[DIFERENCIA])+
SUMIF(CAMBIOS[SOLIICTANTES],Tabla3[[#This Row],[CLIENTES]],CAMBIOS[COSTOS DE ENVÍO])</f>
        <v>-100</v>
      </c>
      <c r="I6" s="10">
        <f>Tabla14[[#This Row],[PENDIENTE]]+Tabla14[[#This Row],[VENTA]]+Tabla14[[#This Row],[RETIRO]]-Tabla14[[#This Row],[COMPRA]]-Tabla14[[#This Row],[PAGO]]+Tabla14[[#This Row],[COMISION]]</f>
        <v>125</v>
      </c>
      <c r="J6" s="10" t="s">
        <v>223</v>
      </c>
      <c r="K6" s="3"/>
    </row>
    <row r="7" spans="2:11" x14ac:dyDescent="0.3">
      <c r="B7" s="1">
        <f>Tabla3[[#This Row],[CLIENTES]]</f>
        <v>0</v>
      </c>
      <c r="D7" s="10">
        <f>SUMIF(BOLIVARES[EMISOR],Tabla3[[#This Row],[CLIENTES]],BOLIVARES[DOLARES])</f>
        <v>0</v>
      </c>
      <c r="E7" s="10">
        <f>SUMIF(BOLIVARES[RECEPTOR],Tabla3[[#This Row],[CLIENTES]],BOLIVARES[DOLARES2])</f>
        <v>0</v>
      </c>
      <c r="F7" s="10">
        <f>SUMIF(Tabla12[EMISOR2],Tabla3[[#This Row],[CLIENTES]],Tabla12[MONTO])</f>
        <v>0</v>
      </c>
      <c r="G7" s="10">
        <f>SUMIF(Tabla12[RECEPTOR],Tabla3[[#This Row],[CLIENTES]],Tabla12[MONTO2])</f>
        <v>0</v>
      </c>
      <c r="H7" s="10">
        <f>SUMIF(CAMBIOS[SOLIICTANTES],Tabla3[[#This Row],[CLIENTES]],CAMBIOS[DIFERENCIA])+
SUMIF(CAMBIOS[SOLIICTANTES],Tabla3[[#This Row],[CLIENTES]],CAMBIOS[COSTOS DE ENVÍO])</f>
        <v>0</v>
      </c>
      <c r="I7" s="10">
        <f>Tabla14[[#This Row],[PENDIENTE]]+Tabla14[[#This Row],[VENTA]]+Tabla14[[#This Row],[RETIRO]]-Tabla14[[#This Row],[COMPRA]]-Tabla14[[#This Row],[PAGO]]+Tabla14[[#This Row],[COMISION]]</f>
        <v>0</v>
      </c>
      <c r="J7" s="10"/>
      <c r="K7" s="3" t="s">
        <v>196</v>
      </c>
    </row>
    <row r="8" spans="2:11" x14ac:dyDescent="0.3">
      <c r="B8" s="1">
        <f>Tabla3[[#This Row],[CLIENTES]]</f>
        <v>0</v>
      </c>
      <c r="D8" s="10">
        <f>SUMIF(BOLIVARES[EMISOR],Tabla3[[#This Row],[CLIENTES]],BOLIVARES[DOLARES])</f>
        <v>0</v>
      </c>
      <c r="E8" s="10">
        <f>SUMIF(BOLIVARES[RECEPTOR],Tabla3[[#This Row],[CLIENTES]],BOLIVARES[DOLARES2])</f>
        <v>0</v>
      </c>
      <c r="F8" s="10">
        <f>SUMIF(Tabla12[EMISOR2],Tabla3[[#This Row],[CLIENTES]],Tabla12[MONTO])</f>
        <v>0</v>
      </c>
      <c r="G8" s="10">
        <f>SUMIF(Tabla12[RECEPTOR],Tabla3[[#This Row],[CLIENTES]],Tabla12[MONTO2])</f>
        <v>0</v>
      </c>
      <c r="H8" s="10">
        <f>SUMIF(CAMBIOS[SOLIICTANTES],Tabla3[[#This Row],[CLIENTES]],CAMBIOS[DIFERENCIA])+
SUMIF(CAMBIOS[SOLIICTANTES],Tabla3[[#This Row],[CLIENTES]],CAMBIOS[COSTOS DE ENVÍO])</f>
        <v>0</v>
      </c>
      <c r="I8" s="10">
        <f>Tabla14[[#This Row],[PENDIENTE]]+Tabla14[[#This Row],[VENTA]]+Tabla14[[#This Row],[RETIRO]]-Tabla14[[#This Row],[COMPRA]]-Tabla14[[#This Row],[PAGO]]+Tabla14[[#This Row],[COMISION]]</f>
        <v>0</v>
      </c>
      <c r="J8" s="10"/>
      <c r="K8" s="3"/>
    </row>
    <row r="9" spans="2:11" x14ac:dyDescent="0.3">
      <c r="B9" s="1">
        <f>Tabla3[[#This Row],[CLIENTES]]</f>
        <v>0</v>
      </c>
      <c r="D9" s="10">
        <f>SUMIF(BOLIVARES[EMISOR],Tabla3[[#This Row],[CLIENTES]],BOLIVARES[DOLARES])</f>
        <v>0</v>
      </c>
      <c r="E9" s="10">
        <f>SUMIF(BOLIVARES[RECEPTOR],Tabla3[[#This Row],[CLIENTES]],BOLIVARES[DOLARES2])</f>
        <v>0</v>
      </c>
      <c r="F9" s="10">
        <f>SUMIF(Tabla12[EMISOR2],Tabla3[[#This Row],[CLIENTES]],Tabla12[MONTO])</f>
        <v>0</v>
      </c>
      <c r="G9" s="10">
        <f>SUMIF(Tabla12[RECEPTOR],Tabla3[[#This Row],[CLIENTES]],Tabla12[MONTO2])</f>
        <v>0</v>
      </c>
      <c r="H9" s="10">
        <f>SUMIF(CAMBIOS[SOLIICTANTES],Tabla3[[#This Row],[CLIENTES]],CAMBIOS[DIFERENCIA])+
SUMIF(CAMBIOS[SOLIICTANTES],Tabla3[[#This Row],[CLIENTES]],CAMBIOS[COSTOS DE ENVÍO])</f>
        <v>0</v>
      </c>
      <c r="I9" s="10">
        <f>Tabla14[[#This Row],[PENDIENTE]]+Tabla14[[#This Row],[VENTA]]+Tabla14[[#This Row],[RETIRO]]-Tabla14[[#This Row],[COMPRA]]-Tabla14[[#This Row],[PAGO]]+Tabla14[[#This Row],[COMISION]]</f>
        <v>0</v>
      </c>
      <c r="J9" s="10"/>
      <c r="K9" s="3"/>
    </row>
    <row r="10" spans="2:11" x14ac:dyDescent="0.3">
      <c r="B10" s="1">
        <f>Tabla3[[#This Row],[CLIENTES]]</f>
        <v>0</v>
      </c>
      <c r="D10" s="10">
        <f>SUMIF(BOLIVARES[EMISOR],Tabla3[[#This Row],[CLIENTES]],BOLIVARES[DOLARES])</f>
        <v>0</v>
      </c>
      <c r="E10" s="10">
        <f>SUMIF(BOLIVARES[RECEPTOR],Tabla3[[#This Row],[CLIENTES]],BOLIVARES[DOLARES2])</f>
        <v>0</v>
      </c>
      <c r="F10" s="10">
        <f>SUMIF(Tabla12[EMISOR2],Tabla3[[#This Row],[CLIENTES]],Tabla12[MONTO])</f>
        <v>0</v>
      </c>
      <c r="G10" s="10">
        <f>SUMIF(Tabla12[RECEPTOR],Tabla3[[#This Row],[CLIENTES]],Tabla12[MONTO2])</f>
        <v>0</v>
      </c>
      <c r="H10" s="10">
        <f>SUMIF(CAMBIOS[SOLIICTANTES],Tabla3[[#This Row],[CLIENTES]],CAMBIOS[DIFERENCIA])+
SUMIF(CAMBIOS[SOLIICTANTES],Tabla3[[#This Row],[CLIENTES]],CAMBIOS[COSTOS DE ENVÍO])</f>
        <v>0</v>
      </c>
      <c r="I10" s="10">
        <f>Tabla14[[#This Row],[PENDIENTE]]+Tabla14[[#This Row],[VENTA]]+Tabla14[[#This Row],[RETIRO]]-Tabla14[[#This Row],[COMPRA]]-Tabla14[[#This Row],[PAGO]]+Tabla14[[#This Row],[COMISION]]</f>
        <v>0</v>
      </c>
      <c r="J10" s="10"/>
      <c r="K10" s="3"/>
    </row>
    <row r="11" spans="2:11" x14ac:dyDescent="0.3">
      <c r="B11" s="1">
        <f>Tabla3[[#This Row],[CLIENTES]]</f>
        <v>0</v>
      </c>
      <c r="D11" s="10">
        <f>SUMIF(BOLIVARES[EMISOR],Tabla3[[#This Row],[CLIENTES]],BOLIVARES[DOLARES])</f>
        <v>0</v>
      </c>
      <c r="E11" s="10">
        <f>SUMIF(BOLIVARES[RECEPTOR],Tabla3[[#This Row],[CLIENTES]],BOLIVARES[DOLARES2])</f>
        <v>0</v>
      </c>
      <c r="F11" s="10">
        <f>SUMIF(Tabla12[EMISOR2],Tabla3[[#This Row],[CLIENTES]],Tabla12[MONTO])</f>
        <v>0</v>
      </c>
      <c r="G11" s="10">
        <f>SUMIF(Tabla12[RECEPTOR],Tabla3[[#This Row],[CLIENTES]],Tabla12[MONTO2])</f>
        <v>0</v>
      </c>
      <c r="H11" s="10">
        <f>SUMIF(CAMBIOS[SOLIICTANTES],Tabla3[[#This Row],[CLIENTES]],CAMBIOS[DIFERENCIA])+
SUMIF(CAMBIOS[SOLIICTANTES],Tabla3[[#This Row],[CLIENTES]],CAMBIOS[COSTOS DE ENVÍO])</f>
        <v>0</v>
      </c>
      <c r="I11" s="10">
        <f>Tabla14[[#This Row],[PENDIENTE]]+Tabla14[[#This Row],[VENTA]]+Tabla14[[#This Row],[RETIRO]]-Tabla14[[#This Row],[COMPRA]]-Tabla14[[#This Row],[PAGO]]+Tabla14[[#This Row],[COMISION]]</f>
        <v>0</v>
      </c>
      <c r="J11" s="10"/>
      <c r="K11" s="3"/>
    </row>
    <row r="12" spans="2:11" x14ac:dyDescent="0.3">
      <c r="B12" s="1">
        <f>Tabla3[[#This Row],[CLIENTES]]</f>
        <v>0</v>
      </c>
      <c r="D12" s="10">
        <f>SUMIF(BOLIVARES[EMISOR],Tabla3[[#This Row],[CLIENTES]],BOLIVARES[DOLARES])</f>
        <v>0</v>
      </c>
      <c r="E12" s="10">
        <f>SUMIF(BOLIVARES[RECEPTOR],Tabla3[[#This Row],[CLIENTES]],BOLIVARES[DOLARES2])</f>
        <v>0</v>
      </c>
      <c r="F12" s="10">
        <f>SUMIF(Tabla12[EMISOR2],Tabla3[[#This Row],[CLIENTES]],Tabla12[MONTO])</f>
        <v>0</v>
      </c>
      <c r="G12" s="10">
        <f>SUMIF(Tabla12[RECEPTOR],Tabla3[[#This Row],[CLIENTES]],Tabla12[MONTO2])</f>
        <v>0</v>
      </c>
      <c r="H12" s="10">
        <f>SUMIF(CAMBIOS[SOLIICTANTES],Tabla3[[#This Row],[CLIENTES]],CAMBIOS[DIFERENCIA])+
SUMIF(CAMBIOS[SOLIICTANTES],Tabla3[[#This Row],[CLIENTES]],CAMBIOS[COSTOS DE ENVÍO])</f>
        <v>0</v>
      </c>
      <c r="I12" s="10">
        <f>Tabla14[[#This Row],[PENDIENTE]]+Tabla14[[#This Row],[VENTA]]+Tabla14[[#This Row],[RETIRO]]-Tabla14[[#This Row],[COMPRA]]-Tabla14[[#This Row],[PAGO]]+Tabla14[[#This Row],[COMISION]]</f>
        <v>0</v>
      </c>
      <c r="J12" s="10"/>
      <c r="K12" s="3"/>
    </row>
    <row r="13" spans="2:11" x14ac:dyDescent="0.3">
      <c r="B13" s="1">
        <f>Tabla3[[#This Row],[CLIENTES]]</f>
        <v>0</v>
      </c>
      <c r="D13" s="10">
        <f>SUMIF(BOLIVARES[EMISOR],Tabla3[[#This Row],[CLIENTES]],BOLIVARES[DOLARES])</f>
        <v>0</v>
      </c>
      <c r="E13" s="10">
        <f>SUMIF(BOLIVARES[RECEPTOR],Tabla3[[#This Row],[CLIENTES]],BOLIVARES[DOLARES2])</f>
        <v>0</v>
      </c>
      <c r="F13" s="10">
        <f>SUMIF(Tabla12[EMISOR2],Tabla3[[#This Row],[CLIENTES]],Tabla12[MONTO])</f>
        <v>0</v>
      </c>
      <c r="G13" s="10">
        <f>SUMIF(Tabla12[RECEPTOR],Tabla3[[#This Row],[CLIENTES]],Tabla12[MONTO2])</f>
        <v>0</v>
      </c>
      <c r="H13" s="10">
        <f>SUMIF(CAMBIOS[SOLIICTANTES],Tabla3[[#This Row],[CLIENTES]],CAMBIOS[DIFERENCIA])+
SUMIF(CAMBIOS[SOLIICTANTES],Tabla3[[#This Row],[CLIENTES]],CAMBIOS[COSTOS DE ENVÍO])</f>
        <v>0</v>
      </c>
      <c r="I13" s="10">
        <f>Tabla14[[#This Row],[PENDIENTE]]+Tabla14[[#This Row],[VENTA]]+Tabla14[[#This Row],[RETIRO]]-Tabla14[[#This Row],[COMPRA]]-Tabla14[[#This Row],[PAGO]]+Tabla14[[#This Row],[COMISION]]</f>
        <v>0</v>
      </c>
      <c r="J13" s="10"/>
      <c r="K13" s="3"/>
    </row>
    <row r="14" spans="2:11" x14ac:dyDescent="0.3">
      <c r="B14" s="1">
        <f>Tabla3[[#This Row],[CLIENTES]]</f>
        <v>0</v>
      </c>
      <c r="D14" s="10">
        <f>SUMIF(BOLIVARES[EMISOR],Tabla3[[#This Row],[CLIENTES]],BOLIVARES[DOLARES])</f>
        <v>0</v>
      </c>
      <c r="E14" s="10">
        <f>SUMIF(BOLIVARES[RECEPTOR],Tabla3[[#This Row],[CLIENTES]],BOLIVARES[DOLARES2])</f>
        <v>0</v>
      </c>
      <c r="F14" s="10">
        <f>SUMIF(Tabla12[EMISOR2],Tabla3[[#This Row],[CLIENTES]],Tabla12[MONTO])</f>
        <v>0</v>
      </c>
      <c r="G14" s="10">
        <f>SUMIF(Tabla12[RECEPTOR],Tabla3[[#This Row],[CLIENTES]],Tabla12[MONTO2])</f>
        <v>0</v>
      </c>
      <c r="H14" s="10">
        <f>SUMIF(CAMBIOS[SOLIICTANTES],Tabla3[[#This Row],[CLIENTES]],CAMBIOS[DIFERENCIA])+
SUMIF(CAMBIOS[SOLIICTANTES],Tabla3[[#This Row],[CLIENTES]],CAMBIOS[COSTOS DE ENVÍO])</f>
        <v>0</v>
      </c>
      <c r="I14" s="10">
        <f>Tabla14[[#This Row],[PENDIENTE]]+Tabla14[[#This Row],[VENTA]]+Tabla14[[#This Row],[RETIRO]]-Tabla14[[#This Row],[COMPRA]]-Tabla14[[#This Row],[PAGO]]+Tabla14[[#This Row],[COMISION]]</f>
        <v>0</v>
      </c>
      <c r="J14" s="10"/>
      <c r="K14" s="3"/>
    </row>
    <row r="15" spans="2:11" x14ac:dyDescent="0.3">
      <c r="B15" s="1">
        <f>Tabla3[[#This Row],[CLIENTES]]</f>
        <v>0</v>
      </c>
      <c r="D15" s="10">
        <f>SUMIF(BOLIVARES[EMISOR],Tabla3[[#This Row],[CLIENTES]],BOLIVARES[DOLARES])</f>
        <v>0</v>
      </c>
      <c r="E15" s="10">
        <f>SUMIF(BOLIVARES[RECEPTOR],Tabla3[[#This Row],[CLIENTES]],BOLIVARES[DOLARES2])</f>
        <v>0</v>
      </c>
      <c r="F15" s="10">
        <f>SUMIF(Tabla12[EMISOR2],Tabla3[[#This Row],[CLIENTES]],Tabla12[MONTO])</f>
        <v>0</v>
      </c>
      <c r="G15" s="10">
        <f>SUMIF(Tabla12[RECEPTOR],Tabla3[[#This Row],[CLIENTES]],Tabla12[MONTO2])</f>
        <v>0</v>
      </c>
      <c r="H15" s="10">
        <f>SUMIF(CAMBIOS[SOLIICTANTES],Tabla3[[#This Row],[CLIENTES]],CAMBIOS[DIFERENCIA])+
SUMIF(CAMBIOS[SOLIICTANTES],Tabla3[[#This Row],[CLIENTES]],CAMBIOS[COSTOS DE ENVÍO])</f>
        <v>0</v>
      </c>
      <c r="I15" s="10">
        <f>Tabla14[[#This Row],[PENDIENTE]]+Tabla14[[#This Row],[VENTA]]+Tabla14[[#This Row],[RETIRO]]-Tabla14[[#This Row],[COMPRA]]-Tabla14[[#This Row],[PAGO]]+Tabla14[[#This Row],[COMISION]]</f>
        <v>0</v>
      </c>
      <c r="J15" s="10"/>
      <c r="K15" s="3"/>
    </row>
    <row r="16" spans="2:11" x14ac:dyDescent="0.3">
      <c r="B16" s="1">
        <f>Tabla3[[#This Row],[CLIENTES]]</f>
        <v>0</v>
      </c>
      <c r="D16" s="10">
        <f>SUMIF(BOLIVARES[EMISOR],Tabla3[[#This Row],[CLIENTES]],BOLIVARES[DOLARES])</f>
        <v>0</v>
      </c>
      <c r="E16" s="10">
        <f>SUMIF(BOLIVARES[RECEPTOR],Tabla3[[#This Row],[CLIENTES]],BOLIVARES[DOLARES2])</f>
        <v>0</v>
      </c>
      <c r="F16" s="10">
        <f>SUMIF(Tabla12[EMISOR2],Tabla3[[#This Row],[CLIENTES]],Tabla12[MONTO])</f>
        <v>0</v>
      </c>
      <c r="G16" s="10">
        <f>SUMIF(Tabla12[RECEPTOR],Tabla3[[#This Row],[CLIENTES]],Tabla12[MONTO2])</f>
        <v>0</v>
      </c>
      <c r="H16" s="10">
        <f>SUMIF(CAMBIOS[SOLIICTANTES],Tabla3[[#This Row],[CLIENTES]],CAMBIOS[DIFERENCIA])+
SUMIF(CAMBIOS[SOLIICTANTES],Tabla3[[#This Row],[CLIENTES]],CAMBIOS[COSTOS DE ENVÍO])</f>
        <v>0</v>
      </c>
      <c r="I16" s="10">
        <f>Tabla14[[#This Row],[PENDIENTE]]+Tabla14[[#This Row],[VENTA]]+Tabla14[[#This Row],[RETIRO]]-Tabla14[[#This Row],[COMPRA]]-Tabla14[[#This Row],[PAGO]]+Tabla14[[#This Row],[COMISION]]</f>
        <v>0</v>
      </c>
      <c r="J16" s="10"/>
      <c r="K16" s="3"/>
    </row>
    <row r="17" spans="2:11" x14ac:dyDescent="0.3">
      <c r="B17" s="1">
        <f>Tabla3[[#This Row],[CLIENTES]]</f>
        <v>0</v>
      </c>
      <c r="D17" s="10">
        <f>SUMIF(BOLIVARES[EMISOR],Tabla3[[#This Row],[CLIENTES]],BOLIVARES[DOLARES])</f>
        <v>0</v>
      </c>
      <c r="E17" s="10">
        <f>SUMIF(BOLIVARES[RECEPTOR],Tabla3[[#This Row],[CLIENTES]],BOLIVARES[DOLARES2])</f>
        <v>0</v>
      </c>
      <c r="F17" s="10">
        <f>SUMIF(Tabla12[EMISOR2],Tabla3[[#This Row],[CLIENTES]],Tabla12[MONTO])</f>
        <v>0</v>
      </c>
      <c r="G17" s="10">
        <f>SUMIF(Tabla12[RECEPTOR],Tabla3[[#This Row],[CLIENTES]],Tabla12[MONTO2])</f>
        <v>0</v>
      </c>
      <c r="H17" s="10">
        <f>SUMIF(CAMBIOS[SOLIICTANTES],Tabla3[[#This Row],[CLIENTES]],CAMBIOS[DIFERENCIA])+
SUMIF(CAMBIOS[SOLIICTANTES],Tabla3[[#This Row],[CLIENTES]],CAMBIOS[COSTOS DE ENVÍO])</f>
        <v>0</v>
      </c>
      <c r="I17" s="10">
        <f>Tabla14[[#This Row],[PENDIENTE]]+Tabla14[[#This Row],[VENTA]]+Tabla14[[#This Row],[RETIRO]]-Tabla14[[#This Row],[COMPRA]]-Tabla14[[#This Row],[PAGO]]+Tabla14[[#This Row],[COMISION]]</f>
        <v>0</v>
      </c>
      <c r="J17" s="10"/>
      <c r="K17" s="3"/>
    </row>
    <row r="18" spans="2:11" x14ac:dyDescent="0.3">
      <c r="B18" s="1">
        <f>Tabla3[[#This Row],[CLIENTES]]</f>
        <v>0</v>
      </c>
      <c r="D18" s="10">
        <f>SUMIF(BOLIVARES[EMISOR],Tabla3[[#This Row],[CLIENTES]],BOLIVARES[DOLARES])</f>
        <v>0</v>
      </c>
      <c r="E18" s="10">
        <f>SUMIF(BOLIVARES[RECEPTOR],Tabla3[[#This Row],[CLIENTES]],BOLIVARES[DOLARES2])</f>
        <v>0</v>
      </c>
      <c r="F18" s="10">
        <f>SUMIF(Tabla12[EMISOR2],Tabla3[[#This Row],[CLIENTES]],Tabla12[MONTO])</f>
        <v>0</v>
      </c>
      <c r="G18" s="10">
        <f>SUMIF(Tabla12[RECEPTOR],Tabla3[[#This Row],[CLIENTES]],Tabla12[MONTO2])</f>
        <v>0</v>
      </c>
      <c r="H18" s="10">
        <f>SUMIF(CAMBIOS[SOLIICTANTES],Tabla3[[#This Row],[CLIENTES]],CAMBIOS[DIFERENCIA])+
SUMIF(CAMBIOS[SOLIICTANTES],Tabla3[[#This Row],[CLIENTES]],CAMBIOS[COSTOS DE ENVÍO])</f>
        <v>0</v>
      </c>
      <c r="I18" s="10">
        <f>Tabla14[[#This Row],[PENDIENTE]]+Tabla14[[#This Row],[VENTA]]+Tabla14[[#This Row],[RETIRO]]-Tabla14[[#This Row],[COMPRA]]-Tabla14[[#This Row],[PAGO]]+Tabla14[[#This Row],[COMISION]]</f>
        <v>0</v>
      </c>
      <c r="J18" s="10"/>
      <c r="K18" s="3"/>
    </row>
    <row r="19" spans="2:11" x14ac:dyDescent="0.3">
      <c r="B19" s="1">
        <f>Tabla3[[#This Row],[CLIENTES]]</f>
        <v>0</v>
      </c>
      <c r="D19" s="10">
        <f>SUMIF(BOLIVARES[EMISOR],Tabla3[[#This Row],[CLIENTES]],BOLIVARES[DOLARES])</f>
        <v>0</v>
      </c>
      <c r="E19" s="10">
        <f>SUMIF(BOLIVARES[RECEPTOR],Tabla3[[#This Row],[CLIENTES]],BOLIVARES[DOLARES2])</f>
        <v>0</v>
      </c>
      <c r="F19" s="10">
        <f>SUMIF(Tabla12[EMISOR2],Tabla3[[#This Row],[CLIENTES]],Tabla12[MONTO])</f>
        <v>0</v>
      </c>
      <c r="G19" s="10">
        <f>SUMIF(Tabla12[RECEPTOR],Tabla3[[#This Row],[CLIENTES]],Tabla12[MONTO2])</f>
        <v>0</v>
      </c>
      <c r="H19" s="10">
        <f>SUMIF(CAMBIOS[SOLIICTANTES],Tabla3[[#This Row],[CLIENTES]],CAMBIOS[DIFERENCIA])+
SUMIF(CAMBIOS[SOLIICTANTES],Tabla3[[#This Row],[CLIENTES]],CAMBIOS[COSTOS DE ENVÍO])</f>
        <v>0</v>
      </c>
      <c r="I19" s="10">
        <f>Tabla14[[#This Row],[PENDIENTE]]+Tabla14[[#This Row],[VENTA]]+Tabla14[[#This Row],[RETIRO]]-Tabla14[[#This Row],[COMPRA]]-Tabla14[[#This Row],[PAGO]]+Tabla14[[#This Row],[COMISION]]</f>
        <v>0</v>
      </c>
      <c r="J19" s="10"/>
      <c r="K19" s="3"/>
    </row>
    <row r="20" spans="2:11" x14ac:dyDescent="0.3">
      <c r="B20" s="1">
        <f>Tabla3[[#This Row],[CLIENTES]]</f>
        <v>0</v>
      </c>
      <c r="D20" s="10">
        <f>SUMIF(BOLIVARES[EMISOR],Tabla3[[#This Row],[CLIENTES]],BOLIVARES[DOLARES])</f>
        <v>0</v>
      </c>
      <c r="E20" s="10">
        <f>SUMIF(BOLIVARES[RECEPTOR],Tabla3[[#This Row],[CLIENTES]],BOLIVARES[DOLARES2])</f>
        <v>0</v>
      </c>
      <c r="F20" s="10">
        <f>SUMIF(Tabla12[EMISOR2],Tabla3[[#This Row],[CLIENTES]],Tabla12[MONTO])</f>
        <v>0</v>
      </c>
      <c r="G20" s="10">
        <f>SUMIF(Tabla12[RECEPTOR],Tabla3[[#This Row],[CLIENTES]],Tabla12[MONTO2])</f>
        <v>0</v>
      </c>
      <c r="H20" s="10">
        <f>SUMIF(CAMBIOS[SOLIICTANTES],Tabla3[[#This Row],[CLIENTES]],CAMBIOS[DIFERENCIA])+
SUMIF(CAMBIOS[SOLIICTANTES],Tabla3[[#This Row],[CLIENTES]],CAMBIOS[COSTOS DE ENVÍO])</f>
        <v>0</v>
      </c>
      <c r="I20" s="10">
        <f>Tabla14[[#This Row],[PENDIENTE]]+Tabla14[[#This Row],[VENTA]]+Tabla14[[#This Row],[RETIRO]]-Tabla14[[#This Row],[COMPRA]]-Tabla14[[#This Row],[PAGO]]+Tabla14[[#This Row],[COMISION]]</f>
        <v>0</v>
      </c>
      <c r="J20" s="10"/>
      <c r="K20" s="3"/>
    </row>
    <row r="21" spans="2:11" x14ac:dyDescent="0.3">
      <c r="B21" s="1">
        <f>Tabla3[[#This Row],[CLIENTES]]</f>
        <v>0</v>
      </c>
      <c r="D21" s="10">
        <f>SUMIF(BOLIVARES[EMISOR],Tabla3[[#This Row],[CLIENTES]],BOLIVARES[DOLARES])</f>
        <v>0</v>
      </c>
      <c r="E21" s="10">
        <f>SUMIF(BOLIVARES[RECEPTOR],Tabla3[[#This Row],[CLIENTES]],BOLIVARES[DOLARES2])</f>
        <v>0</v>
      </c>
      <c r="F21" s="10">
        <f>SUMIF(Tabla12[EMISOR2],Tabla3[[#This Row],[CLIENTES]],Tabla12[MONTO])</f>
        <v>0</v>
      </c>
      <c r="G21" s="10">
        <f>SUMIF(Tabla12[RECEPTOR],Tabla3[[#This Row],[CLIENTES]],Tabla12[MONTO2])</f>
        <v>0</v>
      </c>
      <c r="H21" s="10">
        <f>SUMIF(CAMBIOS[SOLIICTANTES],Tabla3[[#This Row],[CLIENTES]],CAMBIOS[DIFERENCIA])+
SUMIF(CAMBIOS[SOLIICTANTES],Tabla3[[#This Row],[CLIENTES]],CAMBIOS[COSTOS DE ENVÍO])</f>
        <v>0</v>
      </c>
      <c r="I21" s="10">
        <f>Tabla14[[#This Row],[PENDIENTE]]+Tabla14[[#This Row],[VENTA]]+Tabla14[[#This Row],[RETIRO]]-Tabla14[[#This Row],[COMPRA]]-Tabla14[[#This Row],[PAGO]]+Tabla14[[#This Row],[COMISION]]</f>
        <v>0</v>
      </c>
      <c r="J21" s="10"/>
      <c r="K21" s="51"/>
    </row>
    <row r="22" spans="2:11" x14ac:dyDescent="0.3">
      <c r="B22" s="1">
        <f>Tabla3[[#This Row],[CLIENTES]]</f>
        <v>0</v>
      </c>
      <c r="D22" s="10">
        <f>SUMIF(BOLIVARES[EMISOR],Tabla3[[#This Row],[CLIENTES]],BOLIVARES[DOLARES])</f>
        <v>0</v>
      </c>
      <c r="E22" s="10">
        <f>SUMIF(BOLIVARES[RECEPTOR],Tabla3[[#This Row],[CLIENTES]],BOLIVARES[DOLARES2])</f>
        <v>0</v>
      </c>
      <c r="F22" s="10">
        <f>SUMIF(Tabla12[EMISOR2],Tabla3[[#This Row],[CLIENTES]],Tabla12[MONTO])</f>
        <v>0</v>
      </c>
      <c r="G22" s="10">
        <f>SUMIF(Tabla12[RECEPTOR],Tabla3[[#This Row],[CLIENTES]],Tabla12[MONTO2])</f>
        <v>0</v>
      </c>
      <c r="H22" s="10">
        <f>SUMIF(CAMBIOS[SOLIICTANTES],Tabla3[[#This Row],[CLIENTES]],CAMBIOS[DIFERENCIA])+
SUMIF(CAMBIOS[SOLIICTANTES],Tabla3[[#This Row],[CLIENTES]],CAMBIOS[COSTOS DE ENVÍO])</f>
        <v>0</v>
      </c>
      <c r="I22" s="10">
        <f>Tabla14[[#This Row],[PENDIENTE]]+Tabla14[[#This Row],[VENTA]]+Tabla14[[#This Row],[RETIRO]]-Tabla14[[#This Row],[COMPRA]]-Tabla14[[#This Row],[PAGO]]+Tabla14[[#This Row],[COMISION]]</f>
        <v>0</v>
      </c>
      <c r="J22" s="10"/>
      <c r="K22" s="3" t="s">
        <v>196</v>
      </c>
    </row>
    <row r="23" spans="2:11" x14ac:dyDescent="0.3">
      <c r="B23" s="1">
        <f>Tabla3[[#This Row],[CLIENTES]]</f>
        <v>0</v>
      </c>
      <c r="D23" s="10">
        <f>SUMIF(BOLIVARES[EMISOR],Tabla3[[#This Row],[CLIENTES]],BOLIVARES[DOLARES])</f>
        <v>0</v>
      </c>
      <c r="E23" s="10">
        <f>SUMIF(BOLIVARES[RECEPTOR],Tabla3[[#This Row],[CLIENTES]],BOLIVARES[DOLARES2])</f>
        <v>0</v>
      </c>
      <c r="F23" s="10">
        <f>SUMIF(Tabla12[EMISOR2],Tabla3[[#This Row],[CLIENTES]],Tabla12[MONTO])</f>
        <v>0</v>
      </c>
      <c r="G23" s="10">
        <f>SUMIF(Tabla12[RECEPTOR],Tabla3[[#This Row],[CLIENTES]],Tabla12[MONTO2])</f>
        <v>0</v>
      </c>
      <c r="H23" s="10">
        <f>SUMIF(CAMBIOS[SOLIICTANTES],Tabla3[[#This Row],[CLIENTES]],CAMBIOS[DIFERENCIA])+
SUMIF(CAMBIOS[SOLIICTANTES],Tabla3[[#This Row],[CLIENTES]],CAMBIOS[COSTOS DE ENVÍO])</f>
        <v>0</v>
      </c>
      <c r="I23" s="10">
        <f>Tabla14[[#This Row],[PENDIENTE]]+Tabla14[[#This Row],[VENTA]]+Tabla14[[#This Row],[RETIRO]]-Tabla14[[#This Row],[COMPRA]]-Tabla14[[#This Row],[PAGO]]+Tabla14[[#This Row],[COMISION]]</f>
        <v>0</v>
      </c>
      <c r="J23" s="10"/>
      <c r="K23" s="51"/>
    </row>
    <row r="24" spans="2:11" x14ac:dyDescent="0.3">
      <c r="B24" s="1">
        <f>Tabla3[[#This Row],[CLIENTES]]</f>
        <v>0</v>
      </c>
      <c r="D24" s="10">
        <f>SUMIF(BOLIVARES[EMISOR],Tabla3[[#This Row],[CLIENTES]],BOLIVARES[DOLARES])</f>
        <v>0</v>
      </c>
      <c r="E24" s="10">
        <f>SUMIF(BOLIVARES[RECEPTOR],Tabla3[[#This Row],[CLIENTES]],BOLIVARES[DOLARES2])</f>
        <v>0</v>
      </c>
      <c r="F24" s="10">
        <f>SUMIF(Tabla12[EMISOR2],Tabla3[[#This Row],[CLIENTES]],Tabla12[MONTO])</f>
        <v>0</v>
      </c>
      <c r="G24" s="10">
        <f>SUMIF(Tabla12[RECEPTOR],Tabla3[[#This Row],[CLIENTES]],Tabla12[MONTO2])</f>
        <v>0</v>
      </c>
      <c r="H24" s="10">
        <f>SUMIF(CAMBIOS[SOLIICTANTES],Tabla3[[#This Row],[CLIENTES]],CAMBIOS[DIFERENCIA])+
SUMIF(CAMBIOS[SOLIICTANTES],Tabla3[[#This Row],[CLIENTES]],CAMBIOS[COSTOS DE ENVÍO])</f>
        <v>0</v>
      </c>
      <c r="I24" s="10">
        <f>Tabla14[[#This Row],[PENDIENTE]]+Tabla14[[#This Row],[VENTA]]+Tabla14[[#This Row],[RETIRO]]-Tabla14[[#This Row],[COMPRA]]-Tabla14[[#This Row],[PAGO]]+Tabla14[[#This Row],[COMISION]]</f>
        <v>0</v>
      </c>
      <c r="J24" s="10"/>
      <c r="K24" s="51"/>
    </row>
    <row r="25" spans="2:11" x14ac:dyDescent="0.3">
      <c r="B25" s="1">
        <f>Tabla3[[#This Row],[CLIENTES]]</f>
        <v>0</v>
      </c>
      <c r="D25" s="10">
        <f>SUMIF(BOLIVARES[EMISOR],Tabla3[[#This Row],[CLIENTES]],BOLIVARES[DOLARES])</f>
        <v>0</v>
      </c>
      <c r="E25" s="10">
        <f>SUMIF(BOLIVARES[RECEPTOR],Tabla3[[#This Row],[CLIENTES]],BOLIVARES[DOLARES2])</f>
        <v>0</v>
      </c>
      <c r="F25" s="10">
        <f>SUMIF(Tabla12[EMISOR2],Tabla3[[#This Row],[CLIENTES]],Tabla12[MONTO])</f>
        <v>0</v>
      </c>
      <c r="G25" s="10">
        <f>SUMIF(Tabla12[RECEPTOR],Tabla3[[#This Row],[CLIENTES]],Tabla12[MONTO2])</f>
        <v>0</v>
      </c>
      <c r="H25" s="10">
        <f>SUMIF(CAMBIOS[SOLIICTANTES],Tabla3[[#This Row],[CLIENTES]],CAMBIOS[DIFERENCIA])+
SUMIF(CAMBIOS[SOLIICTANTES],Tabla3[[#This Row],[CLIENTES]],CAMBIOS[COSTOS DE ENVÍO])</f>
        <v>0</v>
      </c>
      <c r="I25" s="10">
        <f>Tabla14[[#This Row],[PENDIENTE]]+Tabla14[[#This Row],[VENTA]]+Tabla14[[#This Row],[RETIRO]]-Tabla14[[#This Row],[COMPRA]]-Tabla14[[#This Row],[PAGO]]+Tabla14[[#This Row],[COMISION]]</f>
        <v>0</v>
      </c>
      <c r="J25" s="10"/>
      <c r="K25" s="3"/>
    </row>
    <row r="26" spans="2:11" x14ac:dyDescent="0.3">
      <c r="B26" s="1">
        <f>Tabla3[[#This Row],[CLIENTES]]</f>
        <v>0</v>
      </c>
      <c r="D26" s="10">
        <f>SUMIF(BOLIVARES[EMISOR],Tabla3[[#This Row],[CLIENTES]],BOLIVARES[DOLARES])</f>
        <v>0</v>
      </c>
      <c r="E26" s="10">
        <f>SUMIF(BOLIVARES[RECEPTOR],Tabla3[[#This Row],[CLIENTES]],BOLIVARES[DOLARES2])</f>
        <v>0</v>
      </c>
      <c r="F26" s="10">
        <f>SUMIF(Tabla12[EMISOR2],Tabla3[[#This Row],[CLIENTES]],Tabla12[MONTO])</f>
        <v>0</v>
      </c>
      <c r="G26" s="10">
        <f>SUMIF(Tabla12[RECEPTOR],Tabla3[[#This Row],[CLIENTES]],Tabla12[MONTO2])</f>
        <v>0</v>
      </c>
      <c r="H26" s="10">
        <f>SUMIF(CAMBIOS[SOLIICTANTES],Tabla3[[#This Row],[CLIENTES]],CAMBIOS[DIFERENCIA])+
SUMIF(CAMBIOS[SOLIICTANTES],Tabla3[[#This Row],[CLIENTES]],CAMBIOS[COSTOS DE ENVÍO])</f>
        <v>0</v>
      </c>
      <c r="I26" s="10">
        <f>Tabla14[[#This Row],[PENDIENTE]]+Tabla14[[#This Row],[VENTA]]+Tabla14[[#This Row],[RETIRO]]-Tabla14[[#This Row],[COMPRA]]-Tabla14[[#This Row],[PAGO]]+Tabla14[[#This Row],[COMISION]]</f>
        <v>0</v>
      </c>
      <c r="J26" s="10"/>
      <c r="K26" s="3"/>
    </row>
    <row r="27" spans="2:11" x14ac:dyDescent="0.3">
      <c r="B27" s="1">
        <f>Tabla3[[#This Row],[CLIENTES]]</f>
        <v>0</v>
      </c>
      <c r="D27" s="10">
        <f>SUMIF(BOLIVARES[EMISOR],Tabla3[[#This Row],[CLIENTES]],BOLIVARES[DOLARES])</f>
        <v>0</v>
      </c>
      <c r="E27" s="10">
        <f>SUMIF(BOLIVARES[RECEPTOR],Tabla3[[#This Row],[CLIENTES]],BOLIVARES[DOLARES2])</f>
        <v>0</v>
      </c>
      <c r="F27" s="10">
        <f>SUMIF(Tabla12[EMISOR2],Tabla3[[#This Row],[CLIENTES]],Tabla12[MONTO])</f>
        <v>0</v>
      </c>
      <c r="G27" s="10">
        <f>SUMIF(Tabla12[RECEPTOR],Tabla3[[#This Row],[CLIENTES]],Tabla12[MONTO2])</f>
        <v>0</v>
      </c>
      <c r="H27" s="10">
        <f>SUMIF(CAMBIOS[SOLIICTANTES],Tabla3[[#This Row],[CLIENTES]],CAMBIOS[DIFERENCIA])+
SUMIF(CAMBIOS[SOLIICTANTES],Tabla3[[#This Row],[CLIENTES]],CAMBIOS[COSTOS DE ENVÍO])</f>
        <v>0</v>
      </c>
      <c r="I27" s="10">
        <f>Tabla14[[#This Row],[PENDIENTE]]+Tabla14[[#This Row],[VENTA]]+Tabla14[[#This Row],[RETIRO]]-Tabla14[[#This Row],[COMPRA]]-Tabla14[[#This Row],[PAGO]]+Tabla14[[#This Row],[COMISION]]</f>
        <v>0</v>
      </c>
      <c r="J27" s="10"/>
      <c r="K27" s="3"/>
    </row>
    <row r="28" spans="2:11" x14ac:dyDescent="0.3">
      <c r="B28" s="1">
        <f>Tabla3[[#This Row],[CLIENTES]]</f>
        <v>0</v>
      </c>
      <c r="D28" s="10">
        <f>SUMIF(BOLIVARES[EMISOR],Tabla3[[#This Row],[CLIENTES]],BOLIVARES[DOLARES])</f>
        <v>0</v>
      </c>
      <c r="E28" s="10">
        <f>SUMIF(BOLIVARES[RECEPTOR],Tabla3[[#This Row],[CLIENTES]],BOLIVARES[DOLARES2])</f>
        <v>0</v>
      </c>
      <c r="F28" s="10">
        <f>SUMIF(Tabla12[EMISOR2],Tabla3[[#This Row],[CLIENTES]],Tabla12[MONTO])</f>
        <v>0</v>
      </c>
      <c r="G28" s="10">
        <f>SUMIF(Tabla12[RECEPTOR],Tabla3[[#This Row],[CLIENTES]],Tabla12[MONTO2])</f>
        <v>0</v>
      </c>
      <c r="H28" s="10">
        <f>SUMIF(CAMBIOS[SOLIICTANTES],Tabla3[[#This Row],[CLIENTES]],CAMBIOS[DIFERENCIA])+
SUMIF(CAMBIOS[SOLIICTANTES],Tabla3[[#This Row],[CLIENTES]],CAMBIOS[COSTOS DE ENVÍO])</f>
        <v>0</v>
      </c>
      <c r="I28" s="10">
        <f>Tabla14[[#This Row],[PENDIENTE]]+Tabla14[[#This Row],[VENTA]]+Tabla14[[#This Row],[RETIRO]]-Tabla14[[#This Row],[COMPRA]]-Tabla14[[#This Row],[PAGO]]+Tabla14[[#This Row],[COMISION]]</f>
        <v>0</v>
      </c>
      <c r="J28" s="10"/>
      <c r="K28" s="51"/>
    </row>
    <row r="29" spans="2:11" x14ac:dyDescent="0.3">
      <c r="B29" s="1">
        <f>Tabla3[[#This Row],[CLIENTES]]</f>
        <v>0</v>
      </c>
      <c r="D29" s="10">
        <f>SUMIF(BOLIVARES[EMISOR],Tabla3[[#This Row],[CLIENTES]],BOLIVARES[DOLARES])</f>
        <v>0</v>
      </c>
      <c r="E29" s="10">
        <f>SUMIF(BOLIVARES[RECEPTOR],Tabla3[[#This Row],[CLIENTES]],BOLIVARES[DOLARES2])</f>
        <v>0</v>
      </c>
      <c r="F29" s="10">
        <f>SUMIF(Tabla12[EMISOR2],Tabla3[[#This Row],[CLIENTES]],Tabla12[MONTO])</f>
        <v>0</v>
      </c>
      <c r="G29" s="10">
        <f>SUMIF(Tabla12[RECEPTOR],Tabla3[[#This Row],[CLIENTES]],Tabla12[MONTO2])</f>
        <v>0</v>
      </c>
      <c r="H29" s="10">
        <f>SUMIF(CAMBIOS[SOLIICTANTES],Tabla3[[#This Row],[CLIENTES]],CAMBIOS[DIFERENCIA])+
SUMIF(CAMBIOS[SOLIICTANTES],Tabla3[[#This Row],[CLIENTES]],CAMBIOS[COSTOS DE ENVÍO])</f>
        <v>0</v>
      </c>
      <c r="I29" s="10">
        <f>Tabla14[[#This Row],[PENDIENTE]]+Tabla14[[#This Row],[VENTA]]+Tabla14[[#This Row],[RETIRO]]-Tabla14[[#This Row],[COMPRA]]-Tabla14[[#This Row],[PAGO]]+Tabla14[[#This Row],[COMISION]]</f>
        <v>0</v>
      </c>
      <c r="J29" s="10"/>
      <c r="K29" s="3"/>
    </row>
    <row r="30" spans="2:11" x14ac:dyDescent="0.3">
      <c r="B30" s="1">
        <f>Tabla3[[#This Row],[CLIENTES]]</f>
        <v>0</v>
      </c>
      <c r="D30" s="10">
        <f>SUMIF(BOLIVARES[EMISOR],Tabla3[[#This Row],[CLIENTES]],BOLIVARES[DOLARES])</f>
        <v>0</v>
      </c>
      <c r="E30" s="10">
        <f>SUMIF(BOLIVARES[RECEPTOR],Tabla3[[#This Row],[CLIENTES]],BOLIVARES[DOLARES2])</f>
        <v>0</v>
      </c>
      <c r="F30" s="10">
        <f>SUMIF(Tabla12[EMISOR2],Tabla3[[#This Row],[CLIENTES]],Tabla12[MONTO])</f>
        <v>0</v>
      </c>
      <c r="G30" s="10">
        <f>SUMIF(Tabla12[RECEPTOR],Tabla3[[#This Row],[CLIENTES]],Tabla12[MONTO2])</f>
        <v>0</v>
      </c>
      <c r="H30" s="10">
        <f>SUMIF(CAMBIOS[SOLIICTANTES],Tabla3[[#This Row],[CLIENTES]],CAMBIOS[DIFERENCIA])+
SUMIF(CAMBIOS[SOLIICTANTES],Tabla3[[#This Row],[CLIENTES]],CAMBIOS[COSTOS DE ENVÍO])</f>
        <v>0</v>
      </c>
      <c r="I30" s="10">
        <f>Tabla14[[#This Row],[PENDIENTE]]+Tabla14[[#This Row],[VENTA]]+Tabla14[[#This Row],[RETIRO]]-Tabla14[[#This Row],[COMPRA]]-Tabla14[[#This Row],[PAGO]]+Tabla14[[#This Row],[COMISION]]</f>
        <v>0</v>
      </c>
      <c r="J30" s="10"/>
      <c r="K30" s="3"/>
    </row>
    <row r="31" spans="2:11" x14ac:dyDescent="0.3">
      <c r="B31" s="1">
        <f>Tabla3[[#This Row],[CLIENTES]]</f>
        <v>0</v>
      </c>
      <c r="D31" s="10">
        <f>SUMIF(BOLIVARES[EMISOR],Tabla3[[#This Row],[CLIENTES]],BOLIVARES[DOLARES])</f>
        <v>0</v>
      </c>
      <c r="E31" s="10">
        <f>SUMIF(BOLIVARES[RECEPTOR],Tabla3[[#This Row],[CLIENTES]],BOLIVARES[DOLARES2])</f>
        <v>0</v>
      </c>
      <c r="F31" s="10">
        <f>SUMIF(Tabla12[EMISOR2],Tabla3[[#This Row],[CLIENTES]],Tabla12[MONTO])</f>
        <v>0</v>
      </c>
      <c r="G31" s="10">
        <f>SUMIF(Tabla12[RECEPTOR],Tabla3[[#This Row],[CLIENTES]],Tabla12[MONTO2])</f>
        <v>0</v>
      </c>
      <c r="H31" s="10">
        <f>SUMIF(CAMBIOS[SOLIICTANTES],Tabla3[[#This Row],[CLIENTES]],CAMBIOS[DIFERENCIA])+
SUMIF(CAMBIOS[SOLIICTANTES],Tabla3[[#This Row],[CLIENTES]],CAMBIOS[COSTOS DE ENVÍO])</f>
        <v>0</v>
      </c>
      <c r="I31" s="10">
        <f>Tabla14[[#This Row],[PENDIENTE]]+Tabla14[[#This Row],[VENTA]]+Tabla14[[#This Row],[RETIRO]]-Tabla14[[#This Row],[COMPRA]]-Tabla14[[#This Row],[PAGO]]+Tabla14[[#This Row],[COMISION]]</f>
        <v>0</v>
      </c>
      <c r="J31" s="10"/>
      <c r="K31" s="51"/>
    </row>
    <row r="32" spans="2:11" x14ac:dyDescent="0.3">
      <c r="B32" s="1">
        <f>Tabla3[[#This Row],[CLIENTES]]</f>
        <v>0</v>
      </c>
      <c r="D32" s="10">
        <f>SUMIF(BOLIVARES[EMISOR],Tabla3[[#This Row],[CLIENTES]],BOLIVARES[DOLARES])</f>
        <v>0</v>
      </c>
      <c r="E32" s="10">
        <f>SUMIF(BOLIVARES[RECEPTOR],Tabla3[[#This Row],[CLIENTES]],BOLIVARES[DOLARES2])</f>
        <v>0</v>
      </c>
      <c r="F32" s="10">
        <f>SUMIF(Tabla12[EMISOR2],Tabla3[[#This Row],[CLIENTES]],Tabla12[MONTO])</f>
        <v>0</v>
      </c>
      <c r="G32" s="10">
        <f>SUMIF(Tabla12[RECEPTOR],Tabla3[[#This Row],[CLIENTES]],Tabla12[MONTO2])</f>
        <v>0</v>
      </c>
      <c r="H32" s="10">
        <f>SUMIF(CAMBIOS[SOLIICTANTES],Tabla3[[#This Row],[CLIENTES]],CAMBIOS[DIFERENCIA])+
SUMIF(CAMBIOS[SOLIICTANTES],Tabla3[[#This Row],[CLIENTES]],CAMBIOS[COSTOS DE ENVÍO])</f>
        <v>0</v>
      </c>
      <c r="I32" s="10">
        <f>Tabla14[[#This Row],[PENDIENTE]]+Tabla14[[#This Row],[VENTA]]+Tabla14[[#This Row],[RETIRO]]-Tabla14[[#This Row],[COMPRA]]-Tabla14[[#This Row],[PAGO]]+Tabla14[[#This Row],[COMISION]]</f>
        <v>0</v>
      </c>
      <c r="J32" s="10"/>
      <c r="K32" s="51"/>
    </row>
    <row r="33" spans="2:12" x14ac:dyDescent="0.3">
      <c r="B33" s="1">
        <f>Tabla3[[#This Row],[CLIENTES]]</f>
        <v>0</v>
      </c>
      <c r="D33" s="10">
        <f>SUMIF(BOLIVARES[EMISOR],Tabla3[[#This Row],[CLIENTES]],BOLIVARES[DOLARES])</f>
        <v>0</v>
      </c>
      <c r="E33" s="10">
        <f>SUMIF(BOLIVARES[RECEPTOR],Tabla3[[#This Row],[CLIENTES]],BOLIVARES[DOLARES2])</f>
        <v>0</v>
      </c>
      <c r="F33" s="10">
        <f>SUMIF(Tabla12[EMISOR2],Tabla3[[#This Row],[CLIENTES]],Tabla12[MONTO])</f>
        <v>0</v>
      </c>
      <c r="G33" s="10">
        <f>SUMIF(Tabla12[RECEPTOR],Tabla3[[#This Row],[CLIENTES]],Tabla12[MONTO2])</f>
        <v>0</v>
      </c>
      <c r="H33" s="10">
        <f>SUMIF(CAMBIOS[SOLIICTANTES],Tabla3[[#This Row],[CLIENTES]],CAMBIOS[DIFERENCIA])+
SUMIF(CAMBIOS[SOLIICTANTES],Tabla3[[#This Row],[CLIENTES]],CAMBIOS[COSTOS DE ENVÍO])</f>
        <v>0</v>
      </c>
      <c r="I33" s="10">
        <f>Tabla14[[#This Row],[PENDIENTE]]+Tabla14[[#This Row],[VENTA]]+Tabla14[[#This Row],[RETIRO]]-Tabla14[[#This Row],[COMPRA]]-Tabla14[[#This Row],[PAGO]]+Tabla14[[#This Row],[COMISION]]</f>
        <v>0</v>
      </c>
      <c r="J33" s="10"/>
      <c r="K33" s="3"/>
    </row>
    <row r="34" spans="2:12" x14ac:dyDescent="0.3">
      <c r="B34" s="1">
        <f>Tabla3[[#This Row],[CLIENTES]]</f>
        <v>0</v>
      </c>
      <c r="D34" s="10">
        <f>SUMIF(BOLIVARES[EMISOR],Tabla3[[#This Row],[CLIENTES]],BOLIVARES[DOLARES])</f>
        <v>0</v>
      </c>
      <c r="E34" s="10">
        <f>SUMIF(BOLIVARES[RECEPTOR],Tabla3[[#This Row],[CLIENTES]],BOLIVARES[DOLARES2])</f>
        <v>0</v>
      </c>
      <c r="F34" s="10">
        <f>SUMIF(Tabla12[EMISOR2],Tabla3[[#This Row],[CLIENTES]],Tabla12[MONTO])</f>
        <v>0</v>
      </c>
      <c r="G34" s="10">
        <f>SUMIF(Tabla12[RECEPTOR],Tabla3[[#This Row],[CLIENTES]],Tabla12[MONTO2])</f>
        <v>0</v>
      </c>
      <c r="H34" s="10">
        <f>SUMIF(CAMBIOS[SOLIICTANTES],Tabla3[[#This Row],[CLIENTES]],CAMBIOS[DIFERENCIA])+
SUMIF(CAMBIOS[SOLIICTANTES],Tabla3[[#This Row],[CLIENTES]],CAMBIOS[COSTOS DE ENVÍO])</f>
        <v>0</v>
      </c>
      <c r="I34" s="10">
        <f>Tabla14[[#This Row],[PENDIENTE]]+Tabla14[[#This Row],[VENTA]]+Tabla14[[#This Row],[RETIRO]]-Tabla14[[#This Row],[COMPRA]]-Tabla14[[#This Row],[PAGO]]+Tabla14[[#This Row],[COMISION]]</f>
        <v>0</v>
      </c>
      <c r="J34" s="10"/>
      <c r="K34" s="3"/>
    </row>
    <row r="35" spans="2:12" x14ac:dyDescent="0.3">
      <c r="B35" s="1">
        <f>Tabla3[[#This Row],[CLIENTES]]</f>
        <v>0</v>
      </c>
      <c r="D35" s="10">
        <f>SUMIF(BOLIVARES[EMISOR],Tabla3[[#This Row],[CLIENTES]],BOLIVARES[DOLARES])</f>
        <v>0</v>
      </c>
      <c r="E35" s="10">
        <f>SUMIF(BOLIVARES[RECEPTOR],Tabla3[[#This Row],[CLIENTES]],BOLIVARES[DOLARES2])</f>
        <v>0</v>
      </c>
      <c r="F35" s="10">
        <f>SUMIF(Tabla12[EMISOR2],Tabla3[[#This Row],[CLIENTES]],Tabla12[MONTO])</f>
        <v>0</v>
      </c>
      <c r="G35" s="10">
        <f>SUMIF(Tabla12[RECEPTOR],Tabla3[[#This Row],[CLIENTES]],Tabla12[MONTO2])</f>
        <v>0</v>
      </c>
      <c r="H35" s="10">
        <f>SUMIF(CAMBIOS[SOLIICTANTES],Tabla3[[#This Row],[CLIENTES]],CAMBIOS[DIFERENCIA])+
SUMIF(CAMBIOS[SOLIICTANTES],Tabla3[[#This Row],[CLIENTES]],CAMBIOS[COSTOS DE ENVÍO])</f>
        <v>0</v>
      </c>
      <c r="I35" s="10">
        <f>Tabla14[[#This Row],[PENDIENTE]]+Tabla14[[#This Row],[VENTA]]+Tabla14[[#This Row],[RETIRO]]-Tabla14[[#This Row],[COMPRA]]-Tabla14[[#This Row],[PAGO]]+Tabla14[[#This Row],[COMISION]]</f>
        <v>0</v>
      </c>
      <c r="J35" s="10"/>
      <c r="K35" s="3"/>
    </row>
    <row r="36" spans="2:12" x14ac:dyDescent="0.3">
      <c r="B36" s="1">
        <f>Tabla3[[#This Row],[CLIENTES]]</f>
        <v>0</v>
      </c>
      <c r="D36" s="10">
        <f>SUMIF(BOLIVARES[EMISOR],Tabla3[[#This Row],[CLIENTES]],BOLIVARES[DOLARES])</f>
        <v>0</v>
      </c>
      <c r="E36" s="10">
        <f>SUMIF(BOLIVARES[RECEPTOR],Tabla3[[#This Row],[CLIENTES]],BOLIVARES[DOLARES2])</f>
        <v>0</v>
      </c>
      <c r="F36" s="10">
        <f>SUMIF(Tabla12[EMISOR2],Tabla3[[#This Row],[CLIENTES]],Tabla12[MONTO])</f>
        <v>0</v>
      </c>
      <c r="G36" s="10">
        <f>SUMIF(Tabla12[RECEPTOR],Tabla3[[#This Row],[CLIENTES]],Tabla12[MONTO2])</f>
        <v>0</v>
      </c>
      <c r="H36" s="10">
        <f>SUMIF(CAMBIOS[SOLIICTANTES],Tabla3[[#This Row],[CLIENTES]],CAMBIOS[DIFERENCIA])+
SUMIF(CAMBIOS[SOLIICTANTES],Tabla3[[#This Row],[CLIENTES]],CAMBIOS[COSTOS DE ENVÍO])</f>
        <v>0</v>
      </c>
      <c r="I36" s="10">
        <f>Tabla14[[#This Row],[PENDIENTE]]+Tabla14[[#This Row],[VENTA]]+Tabla14[[#This Row],[RETIRO]]-Tabla14[[#This Row],[COMPRA]]-Tabla14[[#This Row],[PAGO]]+Tabla14[[#This Row],[COMISION]]</f>
        <v>0</v>
      </c>
      <c r="J36" s="10"/>
      <c r="K36" s="3" t="s">
        <v>196</v>
      </c>
    </row>
    <row r="37" spans="2:12" ht="16.2" customHeight="1" x14ac:dyDescent="0.3">
      <c r="B37" s="1">
        <f>Tabla3[[#This Row],[CLIENTES]]</f>
        <v>0</v>
      </c>
      <c r="D37" s="10">
        <f>SUMIF(BOLIVARES[EMISOR],Tabla3[[#This Row],[CLIENTES]],BOLIVARES[DOLARES])</f>
        <v>0</v>
      </c>
      <c r="E37" s="10">
        <f>SUMIF(BOLIVARES[RECEPTOR],Tabla3[[#This Row],[CLIENTES]],BOLIVARES[DOLARES2])</f>
        <v>0</v>
      </c>
      <c r="F37" s="10">
        <f>SUMIF(Tabla12[EMISOR2],Tabla3[[#This Row],[CLIENTES]],Tabla12[MONTO])</f>
        <v>0</v>
      </c>
      <c r="G37" s="10">
        <f>SUMIF(Tabla12[RECEPTOR],Tabla3[[#This Row],[CLIENTES]],Tabla12[MONTO2])</f>
        <v>0</v>
      </c>
      <c r="H37" s="10">
        <f>SUMIF(CAMBIOS[SOLIICTANTES],Tabla3[[#This Row],[CLIENTES]],CAMBIOS[DIFERENCIA])+
SUMIF(CAMBIOS[SOLIICTANTES],Tabla3[[#This Row],[CLIENTES]],CAMBIOS[COSTOS DE ENVÍO])</f>
        <v>0</v>
      </c>
      <c r="I37" s="10">
        <f>Tabla14[[#This Row],[PENDIENTE]]+Tabla14[[#This Row],[VENTA]]+Tabla14[[#This Row],[RETIRO]]-Tabla14[[#This Row],[COMPRA]]-Tabla14[[#This Row],[PAGO]]+Tabla14[[#This Row],[COMISION]]</f>
        <v>0</v>
      </c>
      <c r="J37" s="10"/>
      <c r="K37" s="3"/>
    </row>
    <row r="38" spans="2:12" ht="16.2" customHeight="1" x14ac:dyDescent="0.3">
      <c r="B38" s="1">
        <f>Tabla3[[#This Row],[CLIENTES]]</f>
        <v>0</v>
      </c>
      <c r="D38" s="10">
        <f>SUMIF(BOLIVARES[EMISOR],Tabla3[[#This Row],[CLIENTES]],BOLIVARES[DOLARES])</f>
        <v>0</v>
      </c>
      <c r="E38" s="10">
        <f>SUMIF(BOLIVARES[RECEPTOR],Tabla3[[#This Row],[CLIENTES]],BOLIVARES[DOLARES2])</f>
        <v>0</v>
      </c>
      <c r="F38" s="10">
        <f>SUMIF(Tabla12[EMISOR2],Tabla3[[#This Row],[CLIENTES]],Tabla12[MONTO])</f>
        <v>0</v>
      </c>
      <c r="G38" s="10">
        <f>SUMIF(Tabla12[RECEPTOR],Tabla3[[#This Row],[CLIENTES]],Tabla12[MONTO2])</f>
        <v>0</v>
      </c>
      <c r="H38" s="10">
        <f>SUMIF(CAMBIOS[SOLIICTANTES],Tabla3[[#This Row],[CLIENTES]],CAMBIOS[DIFERENCIA])+
SUMIF(CAMBIOS[SOLIICTANTES],Tabla3[[#This Row],[CLIENTES]],CAMBIOS[COSTOS DE ENVÍO])</f>
        <v>0</v>
      </c>
      <c r="I38" s="10">
        <f>Tabla14[[#This Row],[PENDIENTE]]+Tabla14[[#This Row],[VENTA]]+Tabla14[[#This Row],[RETIRO]]-Tabla14[[#This Row],[COMPRA]]-Tabla14[[#This Row],[PAGO]]+Tabla14[[#This Row],[COMISION]]</f>
        <v>0</v>
      </c>
      <c r="J38" s="10"/>
      <c r="K38" s="3"/>
    </row>
    <row r="39" spans="2:12" ht="16.2" customHeight="1" x14ac:dyDescent="0.3">
      <c r="B39" s="1">
        <f>Tabla3[[#This Row],[CLIENTES]]</f>
        <v>0</v>
      </c>
      <c r="D39" s="10">
        <f>SUMIF(BOLIVARES[EMISOR],Tabla3[[#This Row],[CLIENTES]],BOLIVARES[DOLARES])</f>
        <v>0</v>
      </c>
      <c r="E39" s="10">
        <f>SUMIF(BOLIVARES[RECEPTOR],Tabla3[[#This Row],[CLIENTES]],BOLIVARES[DOLARES2])</f>
        <v>0</v>
      </c>
      <c r="F39" s="10">
        <f>SUMIF(Tabla12[EMISOR2],Tabla3[[#This Row],[CLIENTES]],Tabla12[MONTO])</f>
        <v>0</v>
      </c>
      <c r="G39" s="10">
        <f>SUMIF(Tabla12[RECEPTOR],Tabla3[[#This Row],[CLIENTES]],Tabla12[MONTO2])</f>
        <v>0</v>
      </c>
      <c r="H39" s="10">
        <f>SUMIF(CAMBIOS[SOLIICTANTES],Tabla3[[#This Row],[CLIENTES]],CAMBIOS[DIFERENCIA])+
SUMIF(CAMBIOS[SOLIICTANTES],Tabla3[[#This Row],[CLIENTES]],CAMBIOS[COSTOS DE ENVÍO])</f>
        <v>0</v>
      </c>
      <c r="I39" s="10">
        <f>Tabla14[[#This Row],[PENDIENTE]]+Tabla14[[#This Row],[VENTA]]+Tabla14[[#This Row],[RETIRO]]-Tabla14[[#This Row],[COMPRA]]-Tabla14[[#This Row],[PAGO]]+Tabla14[[#This Row],[COMISION]]</f>
        <v>0</v>
      </c>
      <c r="J39" s="10"/>
      <c r="K39" s="3"/>
    </row>
    <row r="40" spans="2:12" ht="16.2" customHeight="1" x14ac:dyDescent="0.3">
      <c r="B40" s="1">
        <f>Tabla3[[#This Row],[CLIENTES]]</f>
        <v>0</v>
      </c>
      <c r="D40" s="10">
        <f>SUMIF(BOLIVARES[EMISOR],Tabla3[[#This Row],[CLIENTES]],BOLIVARES[DOLARES])</f>
        <v>0</v>
      </c>
      <c r="E40" s="10">
        <f>SUMIF(BOLIVARES[RECEPTOR],Tabla3[[#This Row],[CLIENTES]],BOLIVARES[DOLARES2])</f>
        <v>0</v>
      </c>
      <c r="F40" s="10">
        <f>SUMIF(Tabla12[EMISOR2],Tabla3[[#This Row],[CLIENTES]],Tabla12[MONTO])</f>
        <v>0</v>
      </c>
      <c r="G40" s="10">
        <f>SUMIF(Tabla12[RECEPTOR],Tabla3[[#This Row],[CLIENTES]],Tabla12[MONTO2])</f>
        <v>0</v>
      </c>
      <c r="H40" s="10">
        <f>SUMIF(CAMBIOS[SOLIICTANTES],Tabla3[[#This Row],[CLIENTES]],CAMBIOS[DIFERENCIA])+
SUMIF(CAMBIOS[SOLIICTANTES],Tabla3[[#This Row],[CLIENTES]],CAMBIOS[COSTOS DE ENVÍO])</f>
        <v>0</v>
      </c>
      <c r="I40" s="10">
        <f>Tabla14[[#This Row],[PENDIENTE]]+Tabla14[[#This Row],[VENTA]]+Tabla14[[#This Row],[RETIRO]]-Tabla14[[#This Row],[COMPRA]]-Tabla14[[#This Row],[PAGO]]+Tabla14[[#This Row],[COMISION]]</f>
        <v>0</v>
      </c>
      <c r="J40" s="10"/>
      <c r="K40" s="51"/>
    </row>
    <row r="41" spans="2:12" ht="16.2" customHeight="1" x14ac:dyDescent="0.3">
      <c r="B41" s="1">
        <f>Tabla3[[#This Row],[CLIENTES]]</f>
        <v>0</v>
      </c>
      <c r="D41" s="10">
        <f>SUMIF(BOLIVARES[EMISOR],Tabla3[[#This Row],[CLIENTES]],BOLIVARES[DOLARES])</f>
        <v>0</v>
      </c>
      <c r="E41" s="10">
        <f>SUMIF(BOLIVARES[RECEPTOR],Tabla3[[#This Row],[CLIENTES]],BOLIVARES[DOLARES2])</f>
        <v>0</v>
      </c>
      <c r="F41" s="10">
        <f>SUMIF(Tabla12[EMISOR2],Tabla3[[#This Row],[CLIENTES]],Tabla12[MONTO])</f>
        <v>0</v>
      </c>
      <c r="G41" s="10">
        <f>SUMIF(Tabla12[RECEPTOR],Tabla3[[#This Row],[CLIENTES]],Tabla12[MONTO2])</f>
        <v>0</v>
      </c>
      <c r="H41" s="10">
        <f>SUMIF(CAMBIOS[SOLIICTANTES],Tabla3[[#This Row],[CLIENTES]],CAMBIOS[DIFERENCIA])+
SUMIF(CAMBIOS[SOLIICTANTES],Tabla3[[#This Row],[CLIENTES]],CAMBIOS[COSTOS DE ENVÍO])</f>
        <v>0</v>
      </c>
      <c r="I41" s="10">
        <f>Tabla14[[#This Row],[PENDIENTE]]+Tabla14[[#This Row],[VENTA]]+Tabla14[[#This Row],[RETIRO]]-Tabla14[[#This Row],[COMPRA]]-Tabla14[[#This Row],[PAGO]]+Tabla14[[#This Row],[COMISION]]</f>
        <v>0</v>
      </c>
      <c r="J41" s="10"/>
      <c r="K41" s="51"/>
    </row>
    <row r="42" spans="2:12" ht="16.2" customHeight="1" x14ac:dyDescent="0.3">
      <c r="B42" s="1">
        <f>Tabla3[[#This Row],[CLIENTES]]</f>
        <v>0</v>
      </c>
      <c r="D42" s="10">
        <f>SUMIF(BOLIVARES[EMISOR],Tabla3[[#This Row],[CLIENTES]],BOLIVARES[DOLARES])</f>
        <v>0</v>
      </c>
      <c r="E42" s="10">
        <f>SUMIF(BOLIVARES[RECEPTOR],Tabla3[[#This Row],[CLIENTES]],BOLIVARES[DOLARES2])</f>
        <v>0</v>
      </c>
      <c r="F42" s="10">
        <f>SUMIF(Tabla12[EMISOR2],Tabla3[[#This Row],[CLIENTES]],Tabla12[MONTO])</f>
        <v>0</v>
      </c>
      <c r="G42" s="10">
        <f>SUMIF(Tabla12[RECEPTOR],Tabla3[[#This Row],[CLIENTES]],Tabla12[MONTO2])</f>
        <v>0</v>
      </c>
      <c r="H42" s="10">
        <f>SUMIF(CAMBIOS[SOLIICTANTES],Tabla3[[#This Row],[CLIENTES]],CAMBIOS[DIFERENCIA])+
SUMIF(CAMBIOS[SOLIICTANTES],Tabla3[[#This Row],[CLIENTES]],CAMBIOS[COSTOS DE ENVÍO])</f>
        <v>0</v>
      </c>
      <c r="I42" s="10">
        <f>Tabla14[[#This Row],[PENDIENTE]]+Tabla14[[#This Row],[VENTA]]+Tabla14[[#This Row],[RETIRO]]-Tabla14[[#This Row],[COMPRA]]-Tabla14[[#This Row],[PAGO]]+Tabla14[[#This Row],[COMISION]]</f>
        <v>0</v>
      </c>
      <c r="J42" s="10"/>
      <c r="K42" s="51"/>
    </row>
    <row r="43" spans="2:12" ht="16.2" customHeight="1" x14ac:dyDescent="0.3">
      <c r="B43" s="1">
        <f>Tabla3[[#This Row],[CLIENTES]]</f>
        <v>0</v>
      </c>
      <c r="D43" s="10">
        <f>SUMIF(BOLIVARES[EMISOR],Tabla3[[#This Row],[CLIENTES]],BOLIVARES[DOLARES])</f>
        <v>0</v>
      </c>
      <c r="E43" s="10">
        <f>SUMIF(BOLIVARES[RECEPTOR],Tabla3[[#This Row],[CLIENTES]],BOLIVARES[DOLARES2])</f>
        <v>0</v>
      </c>
      <c r="F43" s="10">
        <f>SUMIF(Tabla12[EMISOR2],Tabla3[[#This Row],[CLIENTES]],Tabla12[MONTO])</f>
        <v>0</v>
      </c>
      <c r="G43" s="10">
        <f>SUMIF(Tabla12[RECEPTOR],Tabla3[[#This Row],[CLIENTES]],Tabla12[MONTO2])</f>
        <v>0</v>
      </c>
      <c r="H43" s="10">
        <f>SUMIF(CAMBIOS[SOLIICTANTES],Tabla3[[#This Row],[CLIENTES]],CAMBIOS[DIFERENCIA])+
SUMIF(CAMBIOS[SOLIICTANTES],Tabla3[[#This Row],[CLIENTES]],CAMBIOS[COSTOS DE ENVÍO])</f>
        <v>0</v>
      </c>
      <c r="I43" s="10">
        <f>Tabla14[[#This Row],[PENDIENTE]]+Tabla14[[#This Row],[VENTA]]+Tabla14[[#This Row],[RETIRO]]-Tabla14[[#This Row],[COMPRA]]-Tabla14[[#This Row],[PAGO]]+Tabla14[[#This Row],[COMISION]]</f>
        <v>0</v>
      </c>
      <c r="J43" s="10"/>
      <c r="K43" s="51"/>
    </row>
    <row r="44" spans="2:12" ht="16.2" customHeight="1" x14ac:dyDescent="0.3">
      <c r="B44" s="1">
        <f>Tabla3[[#This Row],[CLIENTES]]</f>
        <v>0</v>
      </c>
      <c r="D44" s="10">
        <f>SUMIF(BOLIVARES[EMISOR],Tabla3[[#This Row],[CLIENTES]],BOLIVARES[DOLARES])</f>
        <v>0</v>
      </c>
      <c r="E44" s="10">
        <f>SUMIF(BOLIVARES[RECEPTOR],Tabla3[[#This Row],[CLIENTES]],BOLIVARES[DOLARES2])</f>
        <v>0</v>
      </c>
      <c r="F44" s="10">
        <f>SUMIF(Tabla12[EMISOR2],Tabla3[[#This Row],[CLIENTES]],Tabla12[MONTO])</f>
        <v>0</v>
      </c>
      <c r="G44" s="10">
        <f>SUMIF(Tabla12[RECEPTOR],Tabla3[[#This Row],[CLIENTES]],Tabla12[MONTO2])</f>
        <v>0</v>
      </c>
      <c r="H44" s="10">
        <f>SUMIF(CAMBIOS[SOLIICTANTES],Tabla3[[#This Row],[CLIENTES]],CAMBIOS[DIFERENCIA])+
SUMIF(CAMBIOS[SOLIICTANTES],Tabla3[[#This Row],[CLIENTES]],CAMBIOS[COSTOS DE ENVÍO])</f>
        <v>0</v>
      </c>
      <c r="I44" s="10">
        <f>Tabla14[[#This Row],[PENDIENTE]]+Tabla14[[#This Row],[VENTA]]+Tabla14[[#This Row],[RETIRO]]-Tabla14[[#This Row],[COMPRA]]-Tabla14[[#This Row],[PAGO]]+Tabla14[[#This Row],[COMISION]]</f>
        <v>0</v>
      </c>
      <c r="J44" s="10"/>
      <c r="K44" s="51"/>
    </row>
    <row r="45" spans="2:12" ht="16.2" customHeight="1" x14ac:dyDescent="0.3">
      <c r="B45" s="1">
        <f>Tabla3[[#This Row],[CLIENTES]]</f>
        <v>0</v>
      </c>
      <c r="D45" s="10">
        <f>SUMIF(BOLIVARES[EMISOR],Tabla3[[#This Row],[CLIENTES]],BOLIVARES[DOLARES])</f>
        <v>0</v>
      </c>
      <c r="E45" s="10">
        <f>SUMIF(BOLIVARES[RECEPTOR],Tabla3[[#This Row],[CLIENTES]],BOLIVARES[DOLARES2])</f>
        <v>0</v>
      </c>
      <c r="F45" s="10">
        <f>SUMIF(Tabla12[EMISOR2],Tabla3[[#This Row],[CLIENTES]],Tabla12[MONTO])</f>
        <v>0</v>
      </c>
      <c r="G45" s="10">
        <f>SUMIF(Tabla12[RECEPTOR],Tabla3[[#This Row],[CLIENTES]],Tabla12[MONTO2])</f>
        <v>0</v>
      </c>
      <c r="H45" s="10">
        <f>SUMIF(CAMBIOS[SOLIICTANTES],Tabla3[[#This Row],[CLIENTES]],CAMBIOS[DIFERENCIA])+
SUMIF(CAMBIOS[SOLIICTANTES],Tabla3[[#This Row],[CLIENTES]],CAMBIOS[COSTOS DE ENVÍO])</f>
        <v>0</v>
      </c>
      <c r="I45" s="10">
        <f>Tabla14[[#This Row],[PENDIENTE]]+Tabla14[[#This Row],[VENTA]]+Tabla14[[#This Row],[RETIRO]]-Tabla14[[#This Row],[COMPRA]]-Tabla14[[#This Row],[PAGO]]+Tabla14[[#This Row],[COMISION]]</f>
        <v>0</v>
      </c>
      <c r="J45" s="10"/>
      <c r="K45" s="51"/>
      <c r="L45" s="52"/>
    </row>
    <row r="46" spans="2:12" ht="16.2" customHeight="1" x14ac:dyDescent="0.3">
      <c r="B46" s="1">
        <f>Tabla3[[#This Row],[CLIENTES]]</f>
        <v>0</v>
      </c>
      <c r="D46" s="10">
        <f>SUMIF(BOLIVARES[EMISOR],Tabla3[[#This Row],[CLIENTES]],BOLIVARES[DOLARES])</f>
        <v>0</v>
      </c>
      <c r="E46" s="10">
        <f>SUMIF(BOLIVARES[RECEPTOR],Tabla3[[#This Row],[CLIENTES]],BOLIVARES[DOLARES2])</f>
        <v>0</v>
      </c>
      <c r="F46" s="10">
        <f>SUMIF(Tabla12[EMISOR2],Tabla3[[#This Row],[CLIENTES]],Tabla12[MONTO])</f>
        <v>0</v>
      </c>
      <c r="G46" s="10">
        <f>SUMIF(Tabla12[RECEPTOR],Tabla3[[#This Row],[CLIENTES]],Tabla12[MONTO2])</f>
        <v>0</v>
      </c>
      <c r="H46" s="10">
        <f>SUMIF(CAMBIOS[SOLIICTANTES],Tabla3[[#This Row],[CLIENTES]],CAMBIOS[DIFERENCIA])+
SUMIF(CAMBIOS[SOLIICTANTES],Tabla3[[#This Row],[CLIENTES]],CAMBIOS[COSTOS DE ENVÍO])</f>
        <v>0</v>
      </c>
      <c r="I46" s="10">
        <f>Tabla14[[#This Row],[PENDIENTE]]+Tabla14[[#This Row],[VENTA]]+Tabla14[[#This Row],[RETIRO]]-Tabla14[[#This Row],[COMPRA]]-Tabla14[[#This Row],[PAGO]]+Tabla14[[#This Row],[COMISION]]</f>
        <v>0</v>
      </c>
      <c r="J46" s="10"/>
      <c r="K46" s="51"/>
      <c r="L46" s="52"/>
    </row>
    <row r="47" spans="2:12" ht="16.2" customHeight="1" x14ac:dyDescent="0.3">
      <c r="B47" s="1">
        <f>Tabla3[[#This Row],[CLIENTES]]</f>
        <v>0</v>
      </c>
      <c r="D47" s="10">
        <f>SUMIF(BOLIVARES[EMISOR],Tabla3[[#This Row],[CLIENTES]],BOLIVARES[DOLARES])</f>
        <v>0</v>
      </c>
      <c r="E47" s="10">
        <f>SUMIF(BOLIVARES[RECEPTOR],Tabla3[[#This Row],[CLIENTES]],BOLIVARES[DOLARES2])</f>
        <v>0</v>
      </c>
      <c r="F47" s="10">
        <f>SUMIF(Tabla12[EMISOR2],Tabla3[[#This Row],[CLIENTES]],Tabla12[MONTO])</f>
        <v>0</v>
      </c>
      <c r="G47" s="10">
        <f>SUMIF(Tabla12[RECEPTOR],Tabla3[[#This Row],[CLIENTES]],Tabla12[MONTO2])</f>
        <v>0</v>
      </c>
      <c r="H47" s="10">
        <f>SUMIF(CAMBIOS[SOLIICTANTES],Tabla3[[#This Row],[CLIENTES]],CAMBIOS[DIFERENCIA])+
SUMIF(CAMBIOS[SOLIICTANTES],Tabla3[[#This Row],[CLIENTES]],CAMBIOS[COSTOS DE ENVÍO])</f>
        <v>0</v>
      </c>
      <c r="I47" s="10">
        <f>Tabla14[[#This Row],[PENDIENTE]]+Tabla14[[#This Row],[VENTA]]+Tabla14[[#This Row],[RETIRO]]-Tabla14[[#This Row],[COMPRA]]-Tabla14[[#This Row],[PAGO]]+Tabla14[[#This Row],[COMISION]]</f>
        <v>0</v>
      </c>
      <c r="J47" s="10"/>
      <c r="K47" s="3" t="s">
        <v>196</v>
      </c>
      <c r="L47" s="52"/>
    </row>
    <row r="48" spans="2:12" ht="16.2" customHeight="1" x14ac:dyDescent="0.3">
      <c r="B48" s="1">
        <f>Tabla3[[#This Row],[CLIENTES]]</f>
        <v>0</v>
      </c>
      <c r="D48" s="10">
        <f>SUMIF(BOLIVARES[EMISOR],Tabla3[[#This Row],[CLIENTES]],BOLIVARES[DOLARES])</f>
        <v>0</v>
      </c>
      <c r="E48" s="10">
        <f>SUMIF(BOLIVARES[RECEPTOR],Tabla3[[#This Row],[CLIENTES]],BOLIVARES[DOLARES2])</f>
        <v>0</v>
      </c>
      <c r="F48" s="10">
        <f>SUMIF(Tabla12[EMISOR2],Tabla3[[#This Row],[CLIENTES]],Tabla12[MONTO])</f>
        <v>0</v>
      </c>
      <c r="G48" s="10">
        <f>SUMIF(Tabla12[RECEPTOR],Tabla3[[#This Row],[CLIENTES]],Tabla12[MONTO2])</f>
        <v>0</v>
      </c>
      <c r="H48" s="10">
        <f>SUMIF(CAMBIOS[SOLIICTANTES],Tabla3[[#This Row],[CLIENTES]],CAMBIOS[DIFERENCIA])+
SUMIF(CAMBIOS[SOLIICTANTES],Tabla3[[#This Row],[CLIENTES]],CAMBIOS[COSTOS DE ENVÍO])</f>
        <v>0</v>
      </c>
      <c r="I48" s="10">
        <f>Tabla14[[#This Row],[PENDIENTE]]+Tabla14[[#This Row],[VENTA]]+Tabla14[[#This Row],[RETIRO]]-Tabla14[[#This Row],[COMPRA]]-Tabla14[[#This Row],[PAGO]]+Tabla14[[#This Row],[COMISION]]</f>
        <v>0</v>
      </c>
      <c r="J48" s="10"/>
      <c r="K48" s="3" t="s">
        <v>196</v>
      </c>
    </row>
    <row r="49" spans="2:13" ht="16.2" customHeight="1" x14ac:dyDescent="0.3">
      <c r="B49" s="1">
        <f>Tabla3[[#This Row],[CLIENTES]]</f>
        <v>0</v>
      </c>
      <c r="D49" s="10">
        <f>SUMIF(BOLIVARES[EMISOR],Tabla3[[#This Row],[CLIENTES]],BOLIVARES[DOLARES])</f>
        <v>0</v>
      </c>
      <c r="E49" s="10">
        <f>SUMIF(BOLIVARES[RECEPTOR],Tabla3[[#This Row],[CLIENTES]],BOLIVARES[DOLARES2])</f>
        <v>0</v>
      </c>
      <c r="F49" s="10">
        <f>SUMIF(Tabla12[EMISOR2],Tabla3[[#This Row],[CLIENTES]],Tabla12[MONTO])</f>
        <v>0</v>
      </c>
      <c r="G49" s="10">
        <f>SUMIF(Tabla12[RECEPTOR],Tabla3[[#This Row],[CLIENTES]],Tabla12[MONTO2])</f>
        <v>0</v>
      </c>
      <c r="H49" s="10">
        <f>SUMIF(CAMBIOS[SOLIICTANTES],Tabla3[[#This Row],[CLIENTES]],CAMBIOS[DIFERENCIA])+
SUMIF(CAMBIOS[SOLIICTANTES],Tabla3[[#This Row],[CLIENTES]],CAMBIOS[COSTOS DE ENVÍO])</f>
        <v>0</v>
      </c>
      <c r="I49" s="10">
        <f>Tabla14[[#This Row],[PENDIENTE]]+Tabla14[[#This Row],[VENTA]]+Tabla14[[#This Row],[RETIRO]]-Tabla14[[#This Row],[COMPRA]]-Tabla14[[#This Row],[PAGO]]+Tabla14[[#This Row],[COMISION]]</f>
        <v>0</v>
      </c>
      <c r="J49" s="10"/>
      <c r="K49" s="3"/>
    </row>
    <row r="50" spans="2:13" ht="16.2" customHeight="1" x14ac:dyDescent="0.3">
      <c r="B50" s="1">
        <f>Tabla3[[#This Row],[CLIENTES]]</f>
        <v>0</v>
      </c>
      <c r="D50" s="10">
        <f>SUMIF(BOLIVARES[EMISOR],Tabla3[[#This Row],[CLIENTES]],BOLIVARES[DOLARES])</f>
        <v>0</v>
      </c>
      <c r="E50" s="10">
        <f>SUMIF(BOLIVARES[RECEPTOR],Tabla3[[#This Row],[CLIENTES]],BOLIVARES[DOLARES2])</f>
        <v>0</v>
      </c>
      <c r="F50" s="10">
        <f>SUMIF(Tabla12[EMISOR2],Tabla3[[#This Row],[CLIENTES]],Tabla12[MONTO])</f>
        <v>0</v>
      </c>
      <c r="G50" s="10">
        <f>SUMIF(Tabla12[RECEPTOR],Tabla3[[#This Row],[CLIENTES]],Tabla12[MONTO2])</f>
        <v>0</v>
      </c>
      <c r="H50" s="10">
        <f>SUMIF(CAMBIOS[SOLIICTANTES],Tabla3[[#This Row],[CLIENTES]],CAMBIOS[DIFERENCIA])+
SUMIF(CAMBIOS[SOLIICTANTES],Tabla3[[#This Row],[CLIENTES]],CAMBIOS[COSTOS DE ENVÍO])</f>
        <v>0</v>
      </c>
      <c r="I50" s="10">
        <f>Tabla14[[#This Row],[PENDIENTE]]+Tabla14[[#This Row],[VENTA]]+Tabla14[[#This Row],[RETIRO]]-Tabla14[[#This Row],[COMPRA]]-Tabla14[[#This Row],[PAGO]]+Tabla14[[#This Row],[COMISION]]</f>
        <v>0</v>
      </c>
      <c r="J50" s="10"/>
      <c r="K50" s="3"/>
    </row>
    <row r="51" spans="2:13" ht="16.2" customHeight="1" x14ac:dyDescent="0.3">
      <c r="B51" s="1">
        <f>Tabla3[[#This Row],[CLIENTES]]</f>
        <v>0</v>
      </c>
      <c r="D51" s="10">
        <f>SUMIF(BOLIVARES[EMISOR],Tabla3[[#This Row],[CLIENTES]],BOLIVARES[DOLARES])</f>
        <v>0</v>
      </c>
      <c r="E51" s="10">
        <f>SUMIF(BOLIVARES[RECEPTOR],Tabla3[[#This Row],[CLIENTES]],BOLIVARES[DOLARES2])</f>
        <v>0</v>
      </c>
      <c r="F51" s="10">
        <f>SUMIF(Tabla12[EMISOR2],Tabla3[[#This Row],[CLIENTES]],Tabla12[MONTO])</f>
        <v>0</v>
      </c>
      <c r="G51" s="10">
        <f>SUMIF(Tabla12[RECEPTOR],Tabla3[[#This Row],[CLIENTES]],Tabla12[MONTO2])</f>
        <v>0</v>
      </c>
      <c r="H51" s="10">
        <f>SUMIF(CAMBIOS[SOLIICTANTES],Tabla3[[#This Row],[CLIENTES]],CAMBIOS[DIFERENCIA])+
SUMIF(CAMBIOS[SOLIICTANTES],Tabla3[[#This Row],[CLIENTES]],CAMBIOS[COSTOS DE ENVÍO])</f>
        <v>0</v>
      </c>
      <c r="I51" s="10">
        <f>Tabla14[[#This Row],[PENDIENTE]]+Tabla14[[#This Row],[VENTA]]+Tabla14[[#This Row],[RETIRO]]-Tabla14[[#This Row],[COMPRA]]-Tabla14[[#This Row],[PAGO]]+Tabla14[[#This Row],[COMISION]]</f>
        <v>0</v>
      </c>
      <c r="J51" s="10"/>
      <c r="K51" s="3"/>
    </row>
    <row r="52" spans="2:13" ht="16.2" customHeight="1" x14ac:dyDescent="0.3">
      <c r="B52" s="1">
        <f>Tabla3[[#This Row],[CLIENTES]]</f>
        <v>0</v>
      </c>
      <c r="D52" s="10">
        <f>SUMIF(BOLIVARES[EMISOR],Tabla3[[#This Row],[CLIENTES]],BOLIVARES[DOLARES])</f>
        <v>0</v>
      </c>
      <c r="E52" s="10">
        <f>SUMIF(BOLIVARES[RECEPTOR],Tabla3[[#This Row],[CLIENTES]],BOLIVARES[DOLARES2])</f>
        <v>0</v>
      </c>
      <c r="F52" s="10">
        <f>SUMIF(Tabla12[EMISOR2],Tabla3[[#This Row],[CLIENTES]],Tabla12[MONTO])</f>
        <v>0</v>
      </c>
      <c r="G52" s="10">
        <f>SUMIF(Tabla12[RECEPTOR],Tabla3[[#This Row],[CLIENTES]],Tabla12[MONTO2])</f>
        <v>0</v>
      </c>
      <c r="H52" s="10">
        <f>SUMIF(CAMBIOS[SOLIICTANTES],Tabla3[[#This Row],[CLIENTES]],CAMBIOS[DIFERENCIA])+
SUMIF(CAMBIOS[SOLIICTANTES],Tabla3[[#This Row],[CLIENTES]],CAMBIOS[COSTOS DE ENVÍO])</f>
        <v>0</v>
      </c>
      <c r="I52" s="10">
        <f>Tabla14[[#This Row],[PENDIENTE]]+Tabla14[[#This Row],[VENTA]]+Tabla14[[#This Row],[RETIRO]]-Tabla14[[#This Row],[COMPRA]]-Tabla14[[#This Row],[PAGO]]+Tabla14[[#This Row],[COMISION]]</f>
        <v>0</v>
      </c>
      <c r="J52" s="10"/>
      <c r="K52" s="3"/>
      <c r="L52" s="2"/>
    </row>
    <row r="53" spans="2:13" ht="16.2" customHeight="1" x14ac:dyDescent="0.3">
      <c r="B53" s="1">
        <f>Tabla3[[#This Row],[CLIENTES]]</f>
        <v>0</v>
      </c>
      <c r="D53" s="10">
        <f>SUMIF(BOLIVARES[EMISOR],Tabla3[[#This Row],[CLIENTES]],BOLIVARES[DOLARES])</f>
        <v>0</v>
      </c>
      <c r="E53" s="10">
        <f>SUMIF(BOLIVARES[RECEPTOR],Tabla3[[#This Row],[CLIENTES]],BOLIVARES[DOLARES2])</f>
        <v>0</v>
      </c>
      <c r="F53" s="10">
        <f>SUMIF(Tabla12[EMISOR2],Tabla3[[#This Row],[CLIENTES]],Tabla12[MONTO])</f>
        <v>0</v>
      </c>
      <c r="G53" s="10">
        <f>SUMIF(Tabla12[RECEPTOR],Tabla3[[#This Row],[CLIENTES]],Tabla12[MONTO2])</f>
        <v>0</v>
      </c>
      <c r="H53" s="10">
        <f>SUMIF(CAMBIOS[SOLIICTANTES],Tabla3[[#This Row],[CLIENTES]],CAMBIOS[DIFERENCIA])+
SUMIF(CAMBIOS[SOLIICTANTES],Tabla3[[#This Row],[CLIENTES]],CAMBIOS[COSTOS DE ENVÍO])</f>
        <v>0</v>
      </c>
      <c r="I53" s="10">
        <f>Tabla14[[#This Row],[PENDIENTE]]+Tabla14[[#This Row],[VENTA]]+Tabla14[[#This Row],[RETIRO]]-Tabla14[[#This Row],[COMPRA]]-Tabla14[[#This Row],[PAGO]]+Tabla14[[#This Row],[COMISION]]</f>
        <v>0</v>
      </c>
      <c r="J53" s="10"/>
      <c r="K53" s="3" t="s">
        <v>196</v>
      </c>
    </row>
    <row r="54" spans="2:13" ht="16.2" customHeight="1" x14ac:dyDescent="0.3">
      <c r="B54" s="1">
        <f>Tabla3[[#This Row],[CLIENTES]]</f>
        <v>0</v>
      </c>
      <c r="D54" s="10">
        <f>SUMIF(BOLIVARES[EMISOR],Tabla3[[#This Row],[CLIENTES]],BOLIVARES[DOLARES])</f>
        <v>0</v>
      </c>
      <c r="E54" s="10">
        <f>SUMIF(BOLIVARES[RECEPTOR],Tabla3[[#This Row],[CLIENTES]],BOLIVARES[DOLARES2])</f>
        <v>0</v>
      </c>
      <c r="F54" s="10">
        <f>SUMIF(Tabla12[EMISOR2],Tabla3[[#This Row],[CLIENTES]],Tabla12[MONTO])</f>
        <v>0</v>
      </c>
      <c r="G54" s="10">
        <f>SUMIF(Tabla12[RECEPTOR],Tabla3[[#This Row],[CLIENTES]],Tabla12[MONTO2])</f>
        <v>0</v>
      </c>
      <c r="H54" s="10">
        <f>SUMIF(CAMBIOS[SOLIICTANTES],Tabla3[[#This Row],[CLIENTES]],CAMBIOS[DIFERENCIA])+
SUMIF(CAMBIOS[SOLIICTANTES],Tabla3[[#This Row],[CLIENTES]],CAMBIOS[COSTOS DE ENVÍO])</f>
        <v>0</v>
      </c>
      <c r="I54" s="10">
        <f>Tabla14[[#This Row],[PENDIENTE]]+Tabla14[[#This Row],[VENTA]]+Tabla14[[#This Row],[RETIRO]]-Tabla14[[#This Row],[COMPRA]]-Tabla14[[#This Row],[PAGO]]+Tabla14[[#This Row],[COMISION]]</f>
        <v>0</v>
      </c>
      <c r="J54" s="10"/>
      <c r="K54" s="3"/>
    </row>
    <row r="55" spans="2:13" ht="16.2" customHeight="1" x14ac:dyDescent="0.3">
      <c r="B55" s="1">
        <f>Tabla3[[#This Row],[CLIENTES]]</f>
        <v>0</v>
      </c>
      <c r="D55" s="10">
        <f>SUMIF(BOLIVARES[EMISOR],Tabla3[[#This Row],[CLIENTES]],BOLIVARES[DOLARES])</f>
        <v>0</v>
      </c>
      <c r="E55" s="10">
        <f>SUMIF(BOLIVARES[RECEPTOR],Tabla3[[#This Row],[CLIENTES]],BOLIVARES[DOLARES2])</f>
        <v>0</v>
      </c>
      <c r="F55" s="10">
        <f>SUMIF(Tabla12[EMISOR2],Tabla3[[#This Row],[CLIENTES]],Tabla12[MONTO])</f>
        <v>0</v>
      </c>
      <c r="G55" s="10">
        <f>SUMIF(Tabla12[RECEPTOR],Tabla3[[#This Row],[CLIENTES]],Tabla12[MONTO2])</f>
        <v>0</v>
      </c>
      <c r="H55" s="10">
        <f>SUMIF(CAMBIOS[SOLIICTANTES],Tabla3[[#This Row],[CLIENTES]],CAMBIOS[DIFERENCIA])+
SUMIF(CAMBIOS[SOLIICTANTES],Tabla3[[#This Row],[CLIENTES]],CAMBIOS[COSTOS DE ENVÍO])</f>
        <v>0</v>
      </c>
      <c r="I55" s="10">
        <f>Tabla14[[#This Row],[PENDIENTE]]+Tabla14[[#This Row],[VENTA]]+Tabla14[[#This Row],[RETIRO]]-Tabla14[[#This Row],[COMPRA]]-Tabla14[[#This Row],[PAGO]]+Tabla14[[#This Row],[COMISION]]</f>
        <v>0</v>
      </c>
      <c r="J55" s="10"/>
      <c r="K55" s="3" t="s">
        <v>196</v>
      </c>
    </row>
    <row r="56" spans="2:13" ht="16.2" customHeight="1" x14ac:dyDescent="0.3">
      <c r="B56" s="1">
        <f>Tabla3[[#This Row],[CLIENTES]]</f>
        <v>0</v>
      </c>
      <c r="D56" s="10">
        <f>SUMIF(BOLIVARES[EMISOR],Tabla3[[#This Row],[CLIENTES]],BOLIVARES[DOLARES])</f>
        <v>0</v>
      </c>
      <c r="E56" s="10">
        <f>SUMIF(BOLIVARES[RECEPTOR],Tabla3[[#This Row],[CLIENTES]],BOLIVARES[DOLARES2])</f>
        <v>0</v>
      </c>
      <c r="F56" s="10">
        <f>SUMIF(Tabla12[EMISOR2],Tabla3[[#This Row],[CLIENTES]],Tabla12[MONTO])</f>
        <v>0</v>
      </c>
      <c r="G56" s="10">
        <f>SUMIF(Tabla12[RECEPTOR],Tabla3[[#This Row],[CLIENTES]],Tabla12[MONTO2])</f>
        <v>0</v>
      </c>
      <c r="H56" s="10">
        <f>SUMIF(CAMBIOS[SOLIICTANTES],Tabla3[[#This Row],[CLIENTES]],CAMBIOS[DIFERENCIA])+
SUMIF(CAMBIOS[SOLIICTANTES],Tabla3[[#This Row],[CLIENTES]],CAMBIOS[COSTOS DE ENVÍO])</f>
        <v>0</v>
      </c>
      <c r="I56" s="10">
        <f>Tabla14[[#This Row],[PENDIENTE]]+Tabla14[[#This Row],[VENTA]]+Tabla14[[#This Row],[RETIRO]]-Tabla14[[#This Row],[COMPRA]]-Tabla14[[#This Row],[PAGO]]+Tabla14[[#This Row],[COMISION]]</f>
        <v>0</v>
      </c>
      <c r="J56" s="10"/>
      <c r="K56" s="51"/>
    </row>
    <row r="57" spans="2:13" ht="16.2" customHeight="1" x14ac:dyDescent="0.3">
      <c r="B57" s="1">
        <f>Tabla3[[#This Row],[CLIENTES]]</f>
        <v>0</v>
      </c>
      <c r="D57" s="10">
        <f>SUMIF(BOLIVARES[EMISOR],Tabla3[[#This Row],[CLIENTES]],BOLIVARES[DOLARES])</f>
        <v>0</v>
      </c>
      <c r="E57" s="10">
        <f>SUMIF(BOLIVARES[RECEPTOR],Tabla3[[#This Row],[CLIENTES]],BOLIVARES[DOLARES2])</f>
        <v>0</v>
      </c>
      <c r="F57" s="10">
        <f>SUMIF(Tabla12[EMISOR2],Tabla3[[#This Row],[CLIENTES]],Tabla12[MONTO])</f>
        <v>0</v>
      </c>
      <c r="G57" s="10">
        <f>SUMIF(Tabla12[RECEPTOR],Tabla3[[#This Row],[CLIENTES]],Tabla12[MONTO2])</f>
        <v>0</v>
      </c>
      <c r="H57" s="10">
        <f>SUMIF(CAMBIOS[SOLIICTANTES],Tabla3[[#This Row],[CLIENTES]],CAMBIOS[DIFERENCIA])+
SUMIF(CAMBIOS[SOLIICTANTES],Tabla3[[#This Row],[CLIENTES]],CAMBIOS[COSTOS DE ENVÍO])</f>
        <v>0</v>
      </c>
      <c r="I57" s="10">
        <f>Tabla14[[#This Row],[PENDIENTE]]+Tabla14[[#This Row],[VENTA]]+Tabla14[[#This Row],[RETIRO]]-Tabla14[[#This Row],[COMPRA]]-Tabla14[[#This Row],[PAGO]]+Tabla14[[#This Row],[COMISION]]</f>
        <v>0</v>
      </c>
      <c r="J57" s="10"/>
      <c r="K57" s="51"/>
    </row>
    <row r="58" spans="2:13" ht="16.2" customHeight="1" x14ac:dyDescent="0.3">
      <c r="B58" s="1">
        <f>Tabla3[[#This Row],[CLIENTES]]</f>
        <v>0</v>
      </c>
      <c r="D58" s="10">
        <f>SUMIF(BOLIVARES[EMISOR],Tabla3[[#This Row],[CLIENTES]],BOLIVARES[DOLARES])</f>
        <v>0</v>
      </c>
      <c r="E58" s="10">
        <f>SUMIF(BOLIVARES[RECEPTOR],Tabla3[[#This Row],[CLIENTES]],BOLIVARES[DOLARES2])</f>
        <v>0</v>
      </c>
      <c r="F58" s="10">
        <f>SUMIF(Tabla12[EMISOR2],Tabla3[[#This Row],[CLIENTES]],Tabla12[MONTO])</f>
        <v>0</v>
      </c>
      <c r="G58" s="10">
        <f>SUMIF(Tabla12[RECEPTOR],Tabla3[[#This Row],[CLIENTES]],Tabla12[MONTO2])</f>
        <v>0</v>
      </c>
      <c r="H58" s="10">
        <f>SUMIF(CAMBIOS[SOLIICTANTES],Tabla3[[#This Row],[CLIENTES]],CAMBIOS[DIFERENCIA])+
SUMIF(CAMBIOS[SOLIICTANTES],Tabla3[[#This Row],[CLIENTES]],CAMBIOS[COSTOS DE ENVÍO])</f>
        <v>0</v>
      </c>
      <c r="I58" s="10">
        <f>Tabla14[[#This Row],[PENDIENTE]]+Tabla14[[#This Row],[VENTA]]+Tabla14[[#This Row],[RETIRO]]-Tabla14[[#This Row],[COMPRA]]-Tabla14[[#This Row],[PAGO]]+Tabla14[[#This Row],[COMISION]]</f>
        <v>0</v>
      </c>
      <c r="J58" s="10"/>
      <c r="K58" s="3" t="s">
        <v>196</v>
      </c>
    </row>
    <row r="59" spans="2:13" ht="16.2" customHeight="1" x14ac:dyDescent="0.3">
      <c r="B59" s="1">
        <f>Tabla3[[#This Row],[CLIENTES]]</f>
        <v>0</v>
      </c>
      <c r="D59" s="10">
        <f>SUMIF(BOLIVARES[EMISOR],Tabla3[[#This Row],[CLIENTES]],BOLIVARES[DOLARES])</f>
        <v>0</v>
      </c>
      <c r="E59" s="10">
        <f>SUMIF(BOLIVARES[RECEPTOR],Tabla3[[#This Row],[CLIENTES]],BOLIVARES[DOLARES2])</f>
        <v>0</v>
      </c>
      <c r="F59" s="10">
        <f>SUMIF(Tabla12[EMISOR2],Tabla3[[#This Row],[CLIENTES]],Tabla12[MONTO])</f>
        <v>0</v>
      </c>
      <c r="G59" s="10">
        <f>SUMIF(Tabla12[RECEPTOR],Tabla3[[#This Row],[CLIENTES]],Tabla12[MONTO2])</f>
        <v>0</v>
      </c>
      <c r="H59" s="10">
        <f>SUMIF(CAMBIOS[SOLIICTANTES],Tabla3[[#This Row],[CLIENTES]],CAMBIOS[DIFERENCIA])+
SUMIF(CAMBIOS[SOLIICTANTES],Tabla3[[#This Row],[CLIENTES]],CAMBIOS[COSTOS DE ENVÍO])</f>
        <v>0</v>
      </c>
      <c r="I59" s="10">
        <f>Tabla14[[#This Row],[PENDIENTE]]+Tabla14[[#This Row],[VENTA]]+Tabla14[[#This Row],[RETIRO]]-Tabla14[[#This Row],[COMPRA]]-Tabla14[[#This Row],[PAGO]]+Tabla14[[#This Row],[COMISION]]</f>
        <v>0</v>
      </c>
      <c r="J59" s="10"/>
      <c r="K59" s="51"/>
    </row>
    <row r="60" spans="2:13" ht="16.2" customHeight="1" x14ac:dyDescent="0.3">
      <c r="B60" s="1">
        <f>Tabla3[[#This Row],[CLIENTES]]</f>
        <v>0</v>
      </c>
      <c r="D60" s="10">
        <f>SUMIF(BOLIVARES[EMISOR],Tabla3[[#This Row],[CLIENTES]],BOLIVARES[DOLARES])</f>
        <v>0</v>
      </c>
      <c r="E60" s="10">
        <f>SUMIF(BOLIVARES[RECEPTOR],Tabla3[[#This Row],[CLIENTES]],BOLIVARES[DOLARES2])</f>
        <v>0</v>
      </c>
      <c r="F60" s="10">
        <f>SUMIF(Tabla12[EMISOR2],Tabla3[[#This Row],[CLIENTES]],Tabla12[MONTO])</f>
        <v>0</v>
      </c>
      <c r="G60" s="10">
        <f>SUMIF(Tabla12[RECEPTOR],Tabla3[[#This Row],[CLIENTES]],Tabla12[MONTO2])</f>
        <v>0</v>
      </c>
      <c r="H60" s="10">
        <f>SUMIF(CAMBIOS[SOLIICTANTES],Tabla3[[#This Row],[CLIENTES]],CAMBIOS[DIFERENCIA])+
SUMIF(CAMBIOS[SOLIICTANTES],Tabla3[[#This Row],[CLIENTES]],CAMBIOS[COSTOS DE ENVÍO])</f>
        <v>0</v>
      </c>
      <c r="I60" s="10">
        <f>Tabla14[[#This Row],[PENDIENTE]]+Tabla14[[#This Row],[VENTA]]+Tabla14[[#This Row],[RETIRO]]-Tabla14[[#This Row],[COMPRA]]-Tabla14[[#This Row],[PAGO]]+Tabla14[[#This Row],[COMISION]]</f>
        <v>0</v>
      </c>
      <c r="J60" s="10"/>
      <c r="K60" s="51"/>
    </row>
    <row r="61" spans="2:13" ht="16.2" customHeight="1" x14ac:dyDescent="0.3">
      <c r="B61" s="1">
        <f>Tabla3[[#This Row],[CLIENTES]]</f>
        <v>0</v>
      </c>
      <c r="D61" s="10">
        <f>SUMIF(BOLIVARES[EMISOR],Tabla3[[#This Row],[CLIENTES]],BOLIVARES[DOLARES])</f>
        <v>0</v>
      </c>
      <c r="E61" s="10">
        <f>SUMIF(BOLIVARES[RECEPTOR],Tabla3[[#This Row],[CLIENTES]],BOLIVARES[DOLARES2])</f>
        <v>0</v>
      </c>
      <c r="F61" s="10">
        <f>SUMIF(Tabla12[EMISOR2],Tabla3[[#This Row],[CLIENTES]],Tabla12[MONTO])</f>
        <v>0</v>
      </c>
      <c r="G61" s="10">
        <f>SUMIF(Tabla12[RECEPTOR],Tabla3[[#This Row],[CLIENTES]],Tabla12[MONTO2])</f>
        <v>0</v>
      </c>
      <c r="H61" s="10">
        <f>SUMIF(CAMBIOS[SOLIICTANTES],Tabla3[[#This Row],[CLIENTES]],CAMBIOS[DIFERENCIA])+
SUMIF(CAMBIOS[SOLIICTANTES],Tabla3[[#This Row],[CLIENTES]],CAMBIOS[COSTOS DE ENVÍO])</f>
        <v>0</v>
      </c>
      <c r="I61" s="10">
        <f>Tabla14[[#This Row],[PENDIENTE]]+Tabla14[[#This Row],[VENTA]]+Tabla14[[#This Row],[RETIRO]]-Tabla14[[#This Row],[COMPRA]]-Tabla14[[#This Row],[PAGO]]+Tabla14[[#This Row],[COMISION]]</f>
        <v>0</v>
      </c>
      <c r="J61" s="10"/>
      <c r="K61" s="3"/>
      <c r="M61" s="13"/>
    </row>
    <row r="62" spans="2:13" ht="16.2" customHeight="1" x14ac:dyDescent="0.3">
      <c r="B62" s="1">
        <f>Tabla3[[#This Row],[CLIENTES]]</f>
        <v>0</v>
      </c>
      <c r="D62" s="10">
        <f>SUMIF(BOLIVARES[EMISOR],Tabla3[[#This Row],[CLIENTES]],BOLIVARES[DOLARES])</f>
        <v>0</v>
      </c>
      <c r="E62" s="10">
        <f>SUMIF(BOLIVARES[RECEPTOR],Tabla3[[#This Row],[CLIENTES]],BOLIVARES[DOLARES2])</f>
        <v>0</v>
      </c>
      <c r="F62" s="10">
        <f>SUMIF(Tabla12[EMISOR2],Tabla3[[#This Row],[CLIENTES]],Tabla12[MONTO])</f>
        <v>0</v>
      </c>
      <c r="G62" s="10">
        <f>SUMIF(Tabla12[RECEPTOR],Tabla3[[#This Row],[CLIENTES]],Tabla12[MONTO2])</f>
        <v>0</v>
      </c>
      <c r="H62" s="10">
        <f>SUMIF(CAMBIOS[SOLIICTANTES],Tabla3[[#This Row],[CLIENTES]],CAMBIOS[DIFERENCIA])+
SUMIF(CAMBIOS[SOLIICTANTES],Tabla3[[#This Row],[CLIENTES]],CAMBIOS[COSTOS DE ENVÍO])</f>
        <v>0</v>
      </c>
      <c r="I62" s="10">
        <f>Tabla14[[#This Row],[PENDIENTE]]+Tabla14[[#This Row],[VENTA]]+Tabla14[[#This Row],[RETIRO]]-Tabla14[[#This Row],[COMPRA]]-Tabla14[[#This Row],[PAGO]]+Tabla14[[#This Row],[COMISION]]</f>
        <v>0</v>
      </c>
      <c r="J62" s="10"/>
      <c r="K62" s="3"/>
      <c r="M62" s="13"/>
    </row>
    <row r="63" spans="2:13" ht="16.2" customHeight="1" x14ac:dyDescent="0.3">
      <c r="B63" s="1">
        <f>Tabla3[[#This Row],[CLIENTES]]</f>
        <v>0</v>
      </c>
      <c r="D63" s="10">
        <f>SUMIF(BOLIVARES[EMISOR],Tabla3[[#This Row],[CLIENTES]],BOLIVARES[DOLARES])</f>
        <v>0</v>
      </c>
      <c r="E63" s="10">
        <f>SUMIF(BOLIVARES[RECEPTOR],Tabla3[[#This Row],[CLIENTES]],BOLIVARES[DOLARES2])</f>
        <v>0</v>
      </c>
      <c r="F63" s="10">
        <f>SUMIF(Tabla12[EMISOR2],Tabla3[[#This Row],[CLIENTES]],Tabla12[MONTO])</f>
        <v>0</v>
      </c>
      <c r="G63" s="10">
        <f>SUMIF(Tabla12[RECEPTOR],Tabla3[[#This Row],[CLIENTES]],Tabla12[MONTO2])</f>
        <v>0</v>
      </c>
      <c r="H63" s="10">
        <f>SUMIF(CAMBIOS[SOLIICTANTES],Tabla3[[#This Row],[CLIENTES]],CAMBIOS[DIFERENCIA])+
SUMIF(CAMBIOS[SOLIICTANTES],Tabla3[[#This Row],[CLIENTES]],CAMBIOS[COSTOS DE ENVÍO])</f>
        <v>0</v>
      </c>
      <c r="I63" s="10">
        <f>Tabla14[[#This Row],[PENDIENTE]]+Tabla14[[#This Row],[VENTA]]+Tabla14[[#This Row],[RETIRO]]-Tabla14[[#This Row],[COMPRA]]-Tabla14[[#This Row],[PAGO]]+Tabla14[[#This Row],[COMISION]]</f>
        <v>0</v>
      </c>
      <c r="J63" s="10"/>
      <c r="K63" s="3"/>
    </row>
    <row r="64" spans="2:13" ht="16.2" customHeight="1" x14ac:dyDescent="0.3">
      <c r="B64" s="1">
        <f>Tabla3[[#This Row],[CLIENTES]]</f>
        <v>0</v>
      </c>
      <c r="D64" s="10">
        <f>SUMIF(BOLIVARES[EMISOR],Tabla3[[#This Row],[CLIENTES]],BOLIVARES[DOLARES])</f>
        <v>0</v>
      </c>
      <c r="E64" s="10">
        <f>SUMIF(BOLIVARES[RECEPTOR],Tabla3[[#This Row],[CLIENTES]],BOLIVARES[DOLARES2])</f>
        <v>0</v>
      </c>
      <c r="F64" s="10">
        <f>SUMIF(Tabla12[EMISOR2],Tabla3[[#This Row],[CLIENTES]],Tabla12[MONTO])</f>
        <v>0</v>
      </c>
      <c r="G64" s="10">
        <f>SUMIF(Tabla12[RECEPTOR],Tabla3[[#This Row],[CLIENTES]],Tabla12[MONTO2])</f>
        <v>0</v>
      </c>
      <c r="H64" s="10">
        <f>SUMIF(CAMBIOS[SOLIICTANTES],Tabla3[[#This Row],[CLIENTES]],CAMBIOS[DIFERENCIA])+
SUMIF(CAMBIOS[SOLIICTANTES],Tabla3[[#This Row],[CLIENTES]],CAMBIOS[COSTOS DE ENVÍO])</f>
        <v>0</v>
      </c>
      <c r="I64" s="10">
        <f>Tabla14[[#This Row],[PENDIENTE]]+Tabla14[[#This Row],[VENTA]]+Tabla14[[#This Row],[RETIRO]]-Tabla14[[#This Row],[COMPRA]]-Tabla14[[#This Row],[PAGO]]+Tabla14[[#This Row],[COMISION]]</f>
        <v>0</v>
      </c>
      <c r="J64" s="10"/>
      <c r="K64" s="3"/>
      <c r="M64" s="13"/>
    </row>
    <row r="65" spans="2:11" ht="16.2" customHeight="1" x14ac:dyDescent="0.3">
      <c r="B65" s="1">
        <f>Tabla3[[#This Row],[CLIENTES]]</f>
        <v>0</v>
      </c>
      <c r="D65" s="10">
        <f>SUMIF(BOLIVARES[EMISOR],Tabla3[[#This Row],[CLIENTES]],BOLIVARES[DOLARES])</f>
        <v>0</v>
      </c>
      <c r="E65" s="10">
        <f>SUMIF(BOLIVARES[RECEPTOR],Tabla3[[#This Row],[CLIENTES]],BOLIVARES[DOLARES2])</f>
        <v>0</v>
      </c>
      <c r="F65" s="10">
        <f>SUMIF(Tabla12[EMISOR2],Tabla3[[#This Row],[CLIENTES]],Tabla12[MONTO])</f>
        <v>0</v>
      </c>
      <c r="G65" s="10">
        <f>SUMIF(Tabla12[RECEPTOR],Tabla3[[#This Row],[CLIENTES]],Tabla12[MONTO2])</f>
        <v>0</v>
      </c>
      <c r="H65" s="10">
        <f>SUMIF(CAMBIOS[SOLIICTANTES],Tabla3[[#This Row],[CLIENTES]],CAMBIOS[DIFERENCIA])+
SUMIF(CAMBIOS[SOLIICTANTES],Tabla3[[#This Row],[CLIENTES]],CAMBIOS[COSTOS DE ENVÍO])</f>
        <v>0</v>
      </c>
      <c r="I65" s="10">
        <f>Tabla14[[#This Row],[PENDIENTE]]+Tabla14[[#This Row],[VENTA]]+Tabla14[[#This Row],[RETIRO]]-Tabla14[[#This Row],[COMPRA]]-Tabla14[[#This Row],[PAGO]]+Tabla14[[#This Row],[COMISION]]</f>
        <v>0</v>
      </c>
      <c r="J65" s="10"/>
      <c r="K65" s="3"/>
    </row>
    <row r="66" spans="2:11" ht="16.2" customHeight="1" x14ac:dyDescent="0.3">
      <c r="B66" s="1">
        <f>Tabla3[[#This Row],[CLIENTES]]</f>
        <v>0</v>
      </c>
      <c r="D66" s="10">
        <f>SUMIF(BOLIVARES[EMISOR],Tabla3[[#This Row],[CLIENTES]],BOLIVARES[DOLARES])</f>
        <v>0</v>
      </c>
      <c r="E66" s="10">
        <f>SUMIF(BOLIVARES[RECEPTOR],Tabla3[[#This Row],[CLIENTES]],BOLIVARES[DOLARES2])</f>
        <v>0</v>
      </c>
      <c r="F66" s="10">
        <f>SUMIF(Tabla12[EMISOR2],Tabla3[[#This Row],[CLIENTES]],Tabla12[MONTO])</f>
        <v>0</v>
      </c>
      <c r="G66" s="10">
        <f>SUMIF(Tabla12[RECEPTOR],Tabla3[[#This Row],[CLIENTES]],Tabla12[MONTO2])</f>
        <v>0</v>
      </c>
      <c r="H66" s="10">
        <f>SUMIF(CAMBIOS[SOLIICTANTES],Tabla3[[#This Row],[CLIENTES]],CAMBIOS[DIFERENCIA])+
SUMIF(CAMBIOS[SOLIICTANTES],Tabla3[[#This Row],[CLIENTES]],CAMBIOS[COSTOS DE ENVÍO])</f>
        <v>0</v>
      </c>
      <c r="I66" s="10">
        <f>Tabla14[[#This Row],[PENDIENTE]]+Tabla14[[#This Row],[VENTA]]+Tabla14[[#This Row],[RETIRO]]-Tabla14[[#This Row],[COMPRA]]-Tabla14[[#This Row],[PAGO]]+Tabla14[[#This Row],[COMISION]]</f>
        <v>0</v>
      </c>
      <c r="J66" s="10"/>
      <c r="K66" s="3" t="s">
        <v>196</v>
      </c>
    </row>
    <row r="67" spans="2:11" ht="16.2" customHeight="1" x14ac:dyDescent="0.3">
      <c r="B67" s="1">
        <f>Tabla3[[#This Row],[CLIENTES]]</f>
        <v>0</v>
      </c>
      <c r="D67" s="10">
        <f>SUMIF(BOLIVARES[EMISOR],Tabla3[[#This Row],[CLIENTES]],BOLIVARES[DOLARES])</f>
        <v>0</v>
      </c>
      <c r="E67" s="10">
        <f>SUMIF(BOLIVARES[RECEPTOR],Tabla3[[#This Row],[CLIENTES]],BOLIVARES[DOLARES2])</f>
        <v>0</v>
      </c>
      <c r="F67" s="10">
        <f>SUMIF(Tabla12[EMISOR2],Tabla3[[#This Row],[CLIENTES]],Tabla12[MONTO])</f>
        <v>0</v>
      </c>
      <c r="G67" s="10">
        <f>SUMIF(Tabla12[RECEPTOR],Tabla3[[#This Row],[CLIENTES]],Tabla12[MONTO2])</f>
        <v>0</v>
      </c>
      <c r="H67" s="10">
        <f>SUMIF(CAMBIOS[SOLIICTANTES],Tabla3[[#This Row],[CLIENTES]],CAMBIOS[DIFERENCIA])+
SUMIF(CAMBIOS[SOLIICTANTES],Tabla3[[#This Row],[CLIENTES]],CAMBIOS[COSTOS DE ENVÍO])</f>
        <v>0</v>
      </c>
      <c r="I67" s="10">
        <f>Tabla14[[#This Row],[PENDIENTE]]+Tabla14[[#This Row],[VENTA]]+Tabla14[[#This Row],[RETIRO]]-Tabla14[[#This Row],[COMPRA]]-Tabla14[[#This Row],[PAGO]]+Tabla14[[#This Row],[COMISION]]</f>
        <v>0</v>
      </c>
      <c r="J67" s="10"/>
      <c r="K67" s="3"/>
    </row>
    <row r="68" spans="2:11" ht="16.2" customHeight="1" x14ac:dyDescent="0.3">
      <c r="B68" s="1">
        <f>Tabla3[[#This Row],[CLIENTES]]</f>
        <v>0</v>
      </c>
      <c r="D68" s="10">
        <f>SUMIF(BOLIVARES[EMISOR],Tabla3[[#This Row],[CLIENTES]],BOLIVARES[DOLARES])</f>
        <v>0</v>
      </c>
      <c r="E68" s="10">
        <f>SUMIF(BOLIVARES[RECEPTOR],Tabla3[[#This Row],[CLIENTES]],BOLIVARES[DOLARES2])</f>
        <v>0</v>
      </c>
      <c r="F68" s="10">
        <f>SUMIF(Tabla12[EMISOR2],Tabla3[[#This Row],[CLIENTES]],Tabla12[MONTO])</f>
        <v>0</v>
      </c>
      <c r="G68" s="10">
        <f>SUMIF(Tabla12[RECEPTOR],Tabla3[[#This Row],[CLIENTES]],Tabla12[MONTO2])</f>
        <v>0</v>
      </c>
      <c r="H68" s="10">
        <f>SUMIF(CAMBIOS[SOLIICTANTES],Tabla3[[#This Row],[CLIENTES]],CAMBIOS[DIFERENCIA])+
SUMIF(CAMBIOS[SOLIICTANTES],Tabla3[[#This Row],[CLIENTES]],CAMBIOS[COSTOS DE ENVÍO])</f>
        <v>0</v>
      </c>
      <c r="I68" s="10">
        <f>Tabla14[[#This Row],[PENDIENTE]]+Tabla14[[#This Row],[VENTA]]+Tabla14[[#This Row],[RETIRO]]-Tabla14[[#This Row],[COMPRA]]-Tabla14[[#This Row],[PAGO]]+Tabla14[[#This Row],[COMISION]]</f>
        <v>0</v>
      </c>
      <c r="J68" s="10"/>
      <c r="K68" s="3"/>
    </row>
    <row r="69" spans="2:11" ht="16.2" customHeight="1" x14ac:dyDescent="0.3">
      <c r="B69" s="1">
        <f>Tabla3[[#This Row],[CLIENTES]]</f>
        <v>0</v>
      </c>
      <c r="D69" s="10">
        <f>SUMIF(BOLIVARES[EMISOR],Tabla3[[#This Row],[CLIENTES]],BOLIVARES[DOLARES])</f>
        <v>0</v>
      </c>
      <c r="E69" s="10">
        <f>SUMIF(BOLIVARES[RECEPTOR],Tabla3[[#This Row],[CLIENTES]],BOLIVARES[DOLARES2])</f>
        <v>0</v>
      </c>
      <c r="F69" s="10">
        <f>SUMIF(Tabla12[EMISOR2],Tabla3[[#This Row],[CLIENTES]],Tabla12[MONTO])</f>
        <v>0</v>
      </c>
      <c r="G69" s="10">
        <f>SUMIF(Tabla12[RECEPTOR],Tabla3[[#This Row],[CLIENTES]],Tabla12[MONTO2])</f>
        <v>0</v>
      </c>
      <c r="H69" s="10">
        <f>SUMIF(CAMBIOS[SOLIICTANTES],Tabla3[[#This Row],[CLIENTES]],CAMBIOS[DIFERENCIA])+
SUMIF(CAMBIOS[SOLIICTANTES],Tabla3[[#This Row],[CLIENTES]],CAMBIOS[COSTOS DE ENVÍO])</f>
        <v>0</v>
      </c>
      <c r="I69" s="10">
        <f>Tabla14[[#This Row],[PENDIENTE]]+Tabla14[[#This Row],[VENTA]]+Tabla14[[#This Row],[RETIRO]]-Tabla14[[#This Row],[COMPRA]]-Tabla14[[#This Row],[PAGO]]+Tabla14[[#This Row],[COMISION]]</f>
        <v>0</v>
      </c>
      <c r="J69" s="10"/>
      <c r="K69" s="3"/>
    </row>
    <row r="70" spans="2:11" ht="16.2" customHeight="1" x14ac:dyDescent="0.3">
      <c r="B70" s="1">
        <f>Tabla3[[#This Row],[CLIENTES]]</f>
        <v>0</v>
      </c>
      <c r="D70" s="10">
        <f>SUMIF(BOLIVARES[EMISOR],Tabla3[[#This Row],[CLIENTES]],BOLIVARES[DOLARES])</f>
        <v>0</v>
      </c>
      <c r="E70" s="10">
        <f>SUMIF(BOLIVARES[RECEPTOR],Tabla3[[#This Row],[CLIENTES]],BOLIVARES[DOLARES2])</f>
        <v>0</v>
      </c>
      <c r="F70" s="10">
        <f>SUMIF(Tabla12[EMISOR2],Tabla3[[#This Row],[CLIENTES]],Tabla12[MONTO])</f>
        <v>0</v>
      </c>
      <c r="G70" s="10">
        <f>SUMIF(Tabla12[RECEPTOR],Tabla3[[#This Row],[CLIENTES]],Tabla12[MONTO2])</f>
        <v>0</v>
      </c>
      <c r="H70" s="10">
        <f>SUMIF(CAMBIOS[SOLIICTANTES],Tabla3[[#This Row],[CLIENTES]],CAMBIOS[DIFERENCIA])+
SUMIF(CAMBIOS[SOLIICTANTES],Tabla3[[#This Row],[CLIENTES]],CAMBIOS[COSTOS DE ENVÍO])</f>
        <v>0</v>
      </c>
      <c r="I70" s="10">
        <f>Tabla14[[#This Row],[PENDIENTE]]+Tabla14[[#This Row],[VENTA]]+Tabla14[[#This Row],[RETIRO]]-Tabla14[[#This Row],[COMPRA]]-Tabla14[[#This Row],[PAGO]]+Tabla14[[#This Row],[COMISION]]</f>
        <v>0</v>
      </c>
      <c r="J70" s="10"/>
      <c r="K70" s="3"/>
    </row>
    <row r="71" spans="2:11" ht="16.2" customHeight="1" x14ac:dyDescent="0.3">
      <c r="B71" s="1">
        <f>Tabla3[[#This Row],[CLIENTES]]</f>
        <v>0</v>
      </c>
      <c r="D71" s="10">
        <f>SUMIF(BOLIVARES[EMISOR],Tabla3[[#This Row],[CLIENTES]],BOLIVARES[DOLARES])</f>
        <v>0</v>
      </c>
      <c r="E71" s="10">
        <f>SUMIF(BOLIVARES[RECEPTOR],Tabla3[[#This Row],[CLIENTES]],BOLIVARES[DOLARES2])</f>
        <v>0</v>
      </c>
      <c r="F71" s="10">
        <f>SUMIF(Tabla12[EMISOR2],Tabla3[[#This Row],[CLIENTES]],Tabla12[MONTO])</f>
        <v>0</v>
      </c>
      <c r="G71" s="10">
        <f>SUMIF(Tabla12[RECEPTOR],Tabla3[[#This Row],[CLIENTES]],Tabla12[MONTO2])</f>
        <v>0</v>
      </c>
      <c r="H71" s="10">
        <f>SUMIF(CAMBIOS[SOLIICTANTES],Tabla3[[#This Row],[CLIENTES]],CAMBIOS[DIFERENCIA])+
SUMIF(CAMBIOS[SOLIICTANTES],Tabla3[[#This Row],[CLIENTES]],CAMBIOS[COSTOS DE ENVÍO])</f>
        <v>0</v>
      </c>
      <c r="I71" s="10">
        <f>Tabla14[[#This Row],[PENDIENTE]]+Tabla14[[#This Row],[VENTA]]+Tabla14[[#This Row],[RETIRO]]-Tabla14[[#This Row],[COMPRA]]-Tabla14[[#This Row],[PAGO]]+Tabla14[[#This Row],[COMISION]]</f>
        <v>0</v>
      </c>
      <c r="J71" s="10"/>
      <c r="K71" s="3"/>
    </row>
    <row r="72" spans="2:11" ht="16.2" customHeight="1" x14ac:dyDescent="0.3">
      <c r="B72" s="1">
        <f>Tabla3[[#This Row],[CLIENTES]]</f>
        <v>0</v>
      </c>
      <c r="D72" s="10">
        <f>SUMIF(BOLIVARES[EMISOR],Tabla3[[#This Row],[CLIENTES]],BOLIVARES[DOLARES])</f>
        <v>0</v>
      </c>
      <c r="E72" s="10">
        <f>SUMIF(BOLIVARES[RECEPTOR],Tabla3[[#This Row],[CLIENTES]],BOLIVARES[DOLARES2])</f>
        <v>0</v>
      </c>
      <c r="F72" s="10">
        <f>SUMIF(Tabla12[EMISOR2],Tabla3[[#This Row],[CLIENTES]],Tabla12[MONTO])</f>
        <v>0</v>
      </c>
      <c r="G72" s="10">
        <f>SUMIF(Tabla12[RECEPTOR],Tabla3[[#This Row],[CLIENTES]],Tabla12[MONTO2])</f>
        <v>0</v>
      </c>
      <c r="H72" s="10">
        <f>SUMIF(CAMBIOS[SOLIICTANTES],Tabla3[[#This Row],[CLIENTES]],CAMBIOS[DIFERENCIA])+
SUMIF(CAMBIOS[SOLIICTANTES],Tabla3[[#This Row],[CLIENTES]],CAMBIOS[COSTOS DE ENVÍO])</f>
        <v>0</v>
      </c>
      <c r="I72" s="10">
        <f>Tabla14[[#This Row],[PENDIENTE]]+Tabla14[[#This Row],[VENTA]]+Tabla14[[#This Row],[RETIRO]]-Tabla14[[#This Row],[COMPRA]]-Tabla14[[#This Row],[PAGO]]+Tabla14[[#This Row],[COMISION]]</f>
        <v>0</v>
      </c>
      <c r="J72" s="10"/>
      <c r="K72" s="3" t="s">
        <v>196</v>
      </c>
    </row>
    <row r="73" spans="2:11" ht="16.2" customHeight="1" x14ac:dyDescent="0.3">
      <c r="B73" s="1">
        <f>Tabla3[[#This Row],[CLIENTES]]</f>
        <v>0</v>
      </c>
      <c r="D73" s="10">
        <f>SUMIF(BOLIVARES[EMISOR],Tabla3[[#This Row],[CLIENTES]],BOLIVARES[DOLARES])</f>
        <v>0</v>
      </c>
      <c r="E73" s="10">
        <f>SUMIF(BOLIVARES[RECEPTOR],Tabla3[[#This Row],[CLIENTES]],BOLIVARES[DOLARES2])</f>
        <v>0</v>
      </c>
      <c r="F73" s="10">
        <f>SUMIF(Tabla12[EMISOR2],Tabla3[[#This Row],[CLIENTES]],Tabla12[MONTO])</f>
        <v>0</v>
      </c>
      <c r="G73" s="10">
        <f>SUMIF(Tabla12[RECEPTOR],Tabla3[[#This Row],[CLIENTES]],Tabla12[MONTO2])</f>
        <v>0</v>
      </c>
      <c r="H73" s="10">
        <f>SUMIF(CAMBIOS[SOLIICTANTES],Tabla3[[#This Row],[CLIENTES]],CAMBIOS[DIFERENCIA])+
SUMIF(CAMBIOS[SOLIICTANTES],Tabla3[[#This Row],[CLIENTES]],CAMBIOS[COSTOS DE ENVÍO])</f>
        <v>0</v>
      </c>
      <c r="I73" s="10">
        <f>Tabla14[[#This Row],[PENDIENTE]]+Tabla14[[#This Row],[VENTA]]+Tabla14[[#This Row],[RETIRO]]-Tabla14[[#This Row],[COMPRA]]-Tabla14[[#This Row],[PAGO]]+Tabla14[[#This Row],[COMISION]]</f>
        <v>0</v>
      </c>
      <c r="J73" s="10"/>
      <c r="K73" s="3"/>
    </row>
    <row r="74" spans="2:11" ht="16.2" customHeight="1" x14ac:dyDescent="0.3">
      <c r="B74" s="1">
        <f>Tabla3[[#This Row],[CLIENTES]]</f>
        <v>0</v>
      </c>
      <c r="D74" s="10">
        <f>SUMIF(BOLIVARES[EMISOR],Tabla3[[#This Row],[CLIENTES]],BOLIVARES[DOLARES])</f>
        <v>0</v>
      </c>
      <c r="E74" s="10">
        <f>SUMIF(BOLIVARES[RECEPTOR],Tabla3[[#This Row],[CLIENTES]],BOLIVARES[DOLARES2])</f>
        <v>0</v>
      </c>
      <c r="F74" s="10">
        <f>SUMIF(Tabla12[EMISOR2],Tabla3[[#This Row],[CLIENTES]],Tabla12[MONTO])</f>
        <v>0</v>
      </c>
      <c r="G74" s="10">
        <f>SUMIF(Tabla12[RECEPTOR],Tabla3[[#This Row],[CLIENTES]],Tabla12[MONTO2])</f>
        <v>0</v>
      </c>
      <c r="H74" s="10">
        <f>SUMIF(CAMBIOS[SOLIICTANTES],Tabla3[[#This Row],[CLIENTES]],CAMBIOS[DIFERENCIA])+
SUMIF(CAMBIOS[SOLIICTANTES],Tabla3[[#This Row],[CLIENTES]],CAMBIOS[COSTOS DE ENVÍO])</f>
        <v>0</v>
      </c>
      <c r="I74" s="10">
        <f>Tabla14[[#This Row],[PENDIENTE]]+Tabla14[[#This Row],[VENTA]]+Tabla14[[#This Row],[RETIRO]]-Tabla14[[#This Row],[COMPRA]]-Tabla14[[#This Row],[PAGO]]+Tabla14[[#This Row],[COMISION]]</f>
        <v>0</v>
      </c>
      <c r="J74" s="10"/>
      <c r="K74" s="3"/>
    </row>
    <row r="75" spans="2:11" ht="16.2" customHeight="1" x14ac:dyDescent="0.3">
      <c r="B75" s="1">
        <f>Tabla3[[#This Row],[CLIENTES]]</f>
        <v>0</v>
      </c>
      <c r="D75" s="10">
        <f>SUMIF(BOLIVARES[EMISOR],Tabla3[[#This Row],[CLIENTES]],BOLIVARES[DOLARES])</f>
        <v>0</v>
      </c>
      <c r="E75" s="10">
        <f>SUMIF(BOLIVARES[RECEPTOR],Tabla3[[#This Row],[CLIENTES]],BOLIVARES[DOLARES2])</f>
        <v>0</v>
      </c>
      <c r="F75" s="10">
        <f>SUMIF(Tabla12[EMISOR2],Tabla3[[#This Row],[CLIENTES]],Tabla12[MONTO])</f>
        <v>0</v>
      </c>
      <c r="G75" s="10">
        <f>SUMIF(Tabla12[RECEPTOR],Tabla3[[#This Row],[CLIENTES]],Tabla12[MONTO2])</f>
        <v>0</v>
      </c>
      <c r="H75" s="10">
        <f>SUMIF(CAMBIOS[SOLIICTANTES],Tabla3[[#This Row],[CLIENTES]],CAMBIOS[DIFERENCIA])+
SUMIF(CAMBIOS[SOLIICTANTES],Tabla3[[#This Row],[CLIENTES]],CAMBIOS[COSTOS DE ENVÍO])</f>
        <v>0</v>
      </c>
      <c r="I75" s="10">
        <f>Tabla14[[#This Row],[PENDIENTE]]+Tabla14[[#This Row],[VENTA]]+Tabla14[[#This Row],[RETIRO]]-Tabla14[[#This Row],[COMPRA]]-Tabla14[[#This Row],[PAGO]]+Tabla14[[#This Row],[COMISION]]</f>
        <v>0</v>
      </c>
      <c r="J75" s="10"/>
      <c r="K75" s="3"/>
    </row>
    <row r="76" spans="2:11" ht="16.2" customHeight="1" x14ac:dyDescent="0.3">
      <c r="B76" s="1">
        <f>Tabla3[[#This Row],[CLIENTES]]</f>
        <v>0</v>
      </c>
      <c r="D76" s="10">
        <f>SUMIF(BOLIVARES[EMISOR],Tabla3[[#This Row],[CLIENTES]],BOLIVARES[DOLARES])</f>
        <v>0</v>
      </c>
      <c r="E76" s="10">
        <f>SUMIF(BOLIVARES[RECEPTOR],Tabla3[[#This Row],[CLIENTES]],BOLIVARES[DOLARES2])</f>
        <v>0</v>
      </c>
      <c r="F76" s="10">
        <f>SUMIF(Tabla12[EMISOR2],Tabla3[[#This Row],[CLIENTES]],Tabla12[MONTO])</f>
        <v>0</v>
      </c>
      <c r="G76" s="10">
        <f>SUMIF(Tabla12[RECEPTOR],Tabla3[[#This Row],[CLIENTES]],Tabla12[MONTO2])</f>
        <v>0</v>
      </c>
      <c r="H76" s="10">
        <f>SUMIF(CAMBIOS[SOLIICTANTES],Tabla3[[#This Row],[CLIENTES]],CAMBIOS[DIFERENCIA])+
SUMIF(CAMBIOS[SOLIICTANTES],Tabla3[[#This Row],[CLIENTES]],CAMBIOS[COSTOS DE ENVÍO])</f>
        <v>0</v>
      </c>
      <c r="I76" s="10">
        <f>Tabla14[[#This Row],[PENDIENTE]]+Tabla14[[#This Row],[VENTA]]+Tabla14[[#This Row],[RETIRO]]-Tabla14[[#This Row],[COMPRA]]-Tabla14[[#This Row],[PAGO]]+Tabla14[[#This Row],[COMISION]]</f>
        <v>0</v>
      </c>
      <c r="J76" s="10"/>
      <c r="K76" s="3"/>
    </row>
    <row r="77" spans="2:11" ht="16.2" customHeight="1" x14ac:dyDescent="0.3">
      <c r="B77" s="1">
        <f>Tabla3[[#This Row],[CLIENTES]]</f>
        <v>0</v>
      </c>
      <c r="D77" s="10">
        <f>SUMIF(BOLIVARES[EMISOR],Tabla3[[#This Row],[CLIENTES]],BOLIVARES[DOLARES])</f>
        <v>0</v>
      </c>
      <c r="E77" s="10">
        <f>SUMIF(BOLIVARES[RECEPTOR],Tabla3[[#This Row],[CLIENTES]],BOLIVARES[DOLARES2])</f>
        <v>0</v>
      </c>
      <c r="F77" s="10">
        <f>SUMIF(Tabla12[EMISOR2],Tabla3[[#This Row],[CLIENTES]],Tabla12[MONTO])</f>
        <v>0</v>
      </c>
      <c r="G77" s="10">
        <f>SUMIF(Tabla12[RECEPTOR],Tabla3[[#This Row],[CLIENTES]],Tabla12[MONTO2])</f>
        <v>0</v>
      </c>
      <c r="H77" s="10">
        <f>SUMIF(CAMBIOS[SOLIICTANTES],Tabla3[[#This Row],[CLIENTES]],CAMBIOS[DIFERENCIA])+
SUMIF(CAMBIOS[SOLIICTANTES],Tabla3[[#This Row],[CLIENTES]],CAMBIOS[COSTOS DE ENVÍO])</f>
        <v>0</v>
      </c>
      <c r="I77" s="10">
        <f>Tabla14[[#This Row],[PENDIENTE]]+Tabla14[[#This Row],[VENTA]]+Tabla14[[#This Row],[RETIRO]]-Tabla14[[#This Row],[COMPRA]]-Tabla14[[#This Row],[PAGO]]+Tabla14[[#This Row],[COMISION]]</f>
        <v>0</v>
      </c>
      <c r="J77" s="10"/>
      <c r="K77" s="3"/>
    </row>
    <row r="78" spans="2:11" ht="16.2" customHeight="1" x14ac:dyDescent="0.3">
      <c r="B78" s="1">
        <f>Tabla3[[#This Row],[CLIENTES]]</f>
        <v>0</v>
      </c>
      <c r="C78" s="40"/>
      <c r="D78" s="10">
        <f>SUMIF(BOLIVARES[EMISOR],Tabla3[[#This Row],[CLIENTES]],BOLIVARES[DOLARES])</f>
        <v>0</v>
      </c>
      <c r="E78" s="10">
        <f>SUMIF(BOLIVARES[RECEPTOR],Tabla3[[#This Row],[CLIENTES]],BOLIVARES[DOLARES2])</f>
        <v>0</v>
      </c>
      <c r="F78" s="10">
        <f>SUMIF(Tabla12[EMISOR2],Tabla3[[#This Row],[CLIENTES]],Tabla12[MONTO])</f>
        <v>0</v>
      </c>
      <c r="G78" s="10">
        <f>SUMIF(Tabla12[RECEPTOR],Tabla3[[#This Row],[CLIENTES]],Tabla12[MONTO2])</f>
        <v>0</v>
      </c>
      <c r="H78" s="10">
        <f>SUMIF(CAMBIOS[SOLIICTANTES],Tabla3[[#This Row],[CLIENTES]],CAMBIOS[DIFERENCIA])+
SUMIF(CAMBIOS[SOLIICTANTES],Tabla3[[#This Row],[CLIENTES]],CAMBIOS[COSTOS DE ENVÍO])</f>
        <v>0</v>
      </c>
      <c r="I78" s="10">
        <f>Tabla14[[#This Row],[PENDIENTE]]+Tabla14[[#This Row],[VENTA]]+Tabla14[[#This Row],[RETIRO]]-Tabla14[[#This Row],[COMPRA]]-Tabla14[[#This Row],[PAGO]]+Tabla14[[#This Row],[COMISION]]</f>
        <v>0</v>
      </c>
      <c r="J78" s="10"/>
      <c r="K78" s="3"/>
    </row>
    <row r="79" spans="2:11" ht="16.2" customHeight="1" x14ac:dyDescent="0.3">
      <c r="B79" s="1">
        <f>Tabla3[[#This Row],[CLIENTES]]</f>
        <v>0</v>
      </c>
      <c r="D79" s="10">
        <f>SUMIF(BOLIVARES[EMISOR],Tabla3[[#This Row],[CLIENTES]],BOLIVARES[DOLARES])</f>
        <v>0</v>
      </c>
      <c r="E79" s="10">
        <f>SUMIF(BOLIVARES[RECEPTOR],Tabla3[[#This Row],[CLIENTES]],BOLIVARES[DOLARES2])</f>
        <v>0</v>
      </c>
      <c r="F79" s="10">
        <f>SUMIF(Tabla12[EMISOR2],Tabla3[[#This Row],[CLIENTES]],Tabla12[MONTO])</f>
        <v>0</v>
      </c>
      <c r="G79" s="10">
        <f>SUMIF(Tabla12[RECEPTOR],Tabla3[[#This Row],[CLIENTES]],Tabla12[MONTO2])</f>
        <v>0</v>
      </c>
      <c r="H79" s="10">
        <f>SUMIF(CAMBIOS[SOLIICTANTES],Tabla3[[#This Row],[CLIENTES]],CAMBIOS[DIFERENCIA])+
SUMIF(CAMBIOS[SOLIICTANTES],Tabla3[[#This Row],[CLIENTES]],CAMBIOS[COSTOS DE ENVÍO])</f>
        <v>0</v>
      </c>
      <c r="I79" s="10">
        <f>Tabla14[[#This Row],[PENDIENTE]]+Tabla14[[#This Row],[VENTA]]+Tabla14[[#This Row],[RETIRO]]-Tabla14[[#This Row],[COMPRA]]-Tabla14[[#This Row],[PAGO]]+Tabla14[[#This Row],[COMISION]]</f>
        <v>0</v>
      </c>
      <c r="J79" s="10"/>
      <c r="K79" s="3"/>
    </row>
    <row r="80" spans="2:11" ht="16.2" customHeight="1" x14ac:dyDescent="0.3">
      <c r="B80" s="1">
        <f>Tabla3[[#This Row],[CLIENTES]]</f>
        <v>0</v>
      </c>
      <c r="D80" s="10">
        <f>SUMIF(BOLIVARES[EMISOR],Tabla3[[#This Row],[CLIENTES]],BOLIVARES[DOLARES])</f>
        <v>0</v>
      </c>
      <c r="E80" s="10">
        <f>SUMIF(BOLIVARES[RECEPTOR],Tabla3[[#This Row],[CLIENTES]],BOLIVARES[DOLARES2])</f>
        <v>0</v>
      </c>
      <c r="F80" s="10">
        <f>SUMIF(Tabla12[EMISOR2],Tabla3[[#This Row],[CLIENTES]],Tabla12[MONTO])</f>
        <v>0</v>
      </c>
      <c r="G80" s="10">
        <f>SUMIF(Tabla12[RECEPTOR],Tabla3[[#This Row],[CLIENTES]],Tabla12[MONTO2])</f>
        <v>0</v>
      </c>
      <c r="H80" s="10">
        <f>SUMIF(CAMBIOS[SOLIICTANTES],Tabla3[[#This Row],[CLIENTES]],CAMBIOS[DIFERENCIA])+
SUMIF(CAMBIOS[SOLIICTANTES],Tabla3[[#This Row],[CLIENTES]],CAMBIOS[COSTOS DE ENVÍO])</f>
        <v>0</v>
      </c>
      <c r="I80" s="10">
        <f>Tabla14[[#This Row],[PENDIENTE]]+Tabla14[[#This Row],[VENTA]]+Tabla14[[#This Row],[RETIRO]]-Tabla14[[#This Row],[COMPRA]]-Tabla14[[#This Row],[PAGO]]+Tabla14[[#This Row],[COMISION]]</f>
        <v>0</v>
      </c>
      <c r="J80" s="10"/>
      <c r="K80" s="3"/>
    </row>
    <row r="81" spans="2:11" ht="16.2" customHeight="1" x14ac:dyDescent="0.3">
      <c r="B81" s="1">
        <f>Tabla3[[#This Row],[CLIENTES]]</f>
        <v>0</v>
      </c>
      <c r="D81" s="10">
        <f>SUMIF(BOLIVARES[EMISOR],Tabla3[[#This Row],[CLIENTES]],BOLIVARES[DOLARES])</f>
        <v>0</v>
      </c>
      <c r="E81" s="10">
        <f>SUMIF(BOLIVARES[RECEPTOR],Tabla3[[#This Row],[CLIENTES]],BOLIVARES[DOLARES2])</f>
        <v>0</v>
      </c>
      <c r="F81" s="10">
        <f>SUMIF(Tabla12[EMISOR2],Tabla3[[#This Row],[CLIENTES]],Tabla12[MONTO])</f>
        <v>0</v>
      </c>
      <c r="G81" s="10">
        <f>SUMIF(Tabla12[RECEPTOR],Tabla3[[#This Row],[CLIENTES]],Tabla12[MONTO2])</f>
        <v>0</v>
      </c>
      <c r="H81" s="10">
        <f>SUMIF(CAMBIOS[SOLIICTANTES],Tabla3[[#This Row],[CLIENTES]],CAMBIOS[DIFERENCIA])+
SUMIF(CAMBIOS[SOLIICTANTES],Tabla3[[#This Row],[CLIENTES]],CAMBIOS[COSTOS DE ENVÍO])</f>
        <v>0</v>
      </c>
      <c r="I81" s="10">
        <f>Tabla14[[#This Row],[PENDIENTE]]+Tabla14[[#This Row],[VENTA]]+Tabla14[[#This Row],[RETIRO]]-Tabla14[[#This Row],[COMPRA]]-Tabla14[[#This Row],[PAGO]]+Tabla14[[#This Row],[COMISION]]</f>
        <v>0</v>
      </c>
      <c r="J81" s="10"/>
      <c r="K81" s="3"/>
    </row>
    <row r="82" spans="2:11" ht="16.2" customHeight="1" x14ac:dyDescent="0.3">
      <c r="B82" s="1">
        <f>Tabla3[[#This Row],[CLIENTES]]</f>
        <v>0</v>
      </c>
      <c r="D82" s="10">
        <f>SUMIF(BOLIVARES[EMISOR],Tabla3[[#This Row],[CLIENTES]],BOLIVARES[DOLARES])</f>
        <v>0</v>
      </c>
      <c r="E82" s="10">
        <f>SUMIF(BOLIVARES[RECEPTOR],Tabla3[[#This Row],[CLIENTES]],BOLIVARES[DOLARES2])</f>
        <v>0</v>
      </c>
      <c r="F82" s="10">
        <f>SUMIF(Tabla12[EMISOR2],Tabla3[[#This Row],[CLIENTES]],Tabla12[MONTO])</f>
        <v>0</v>
      </c>
      <c r="G82" s="10">
        <f>SUMIF(Tabla12[RECEPTOR],Tabla3[[#This Row],[CLIENTES]],Tabla12[MONTO2])</f>
        <v>0</v>
      </c>
      <c r="H82" s="10">
        <f>SUMIF(CAMBIOS[SOLIICTANTES],Tabla3[[#This Row],[CLIENTES]],CAMBIOS[DIFERENCIA])+
SUMIF(CAMBIOS[SOLIICTANTES],Tabla3[[#This Row],[CLIENTES]],CAMBIOS[COSTOS DE ENVÍO])</f>
        <v>0</v>
      </c>
      <c r="I82" s="10">
        <f>Tabla14[[#This Row],[PENDIENTE]]+Tabla14[[#This Row],[VENTA]]+Tabla14[[#This Row],[RETIRO]]-Tabla14[[#This Row],[COMPRA]]-Tabla14[[#This Row],[PAGO]]+Tabla14[[#This Row],[COMISION]]</f>
        <v>0</v>
      </c>
      <c r="J82" s="10"/>
      <c r="K82" s="3"/>
    </row>
    <row r="83" spans="2:11" ht="16.2" customHeight="1" x14ac:dyDescent="0.3">
      <c r="B83" s="1">
        <f>Tabla3[[#This Row],[CLIENTES]]</f>
        <v>0</v>
      </c>
      <c r="D83" s="10">
        <f>SUMIF(BOLIVARES[EMISOR],Tabla3[[#This Row],[CLIENTES]],BOLIVARES[DOLARES])</f>
        <v>0</v>
      </c>
      <c r="E83" s="10">
        <f>SUMIF(BOLIVARES[RECEPTOR],Tabla3[[#This Row],[CLIENTES]],BOLIVARES[DOLARES2])</f>
        <v>0</v>
      </c>
      <c r="F83" s="10">
        <f>SUMIF(Tabla12[EMISOR2],Tabla3[[#This Row],[CLIENTES]],Tabla12[MONTO])</f>
        <v>0</v>
      </c>
      <c r="G83" s="10">
        <f>SUMIF(Tabla12[RECEPTOR],Tabla3[[#This Row],[CLIENTES]],Tabla12[MONTO2])</f>
        <v>0</v>
      </c>
      <c r="H83" s="10">
        <f>SUMIF(CAMBIOS[SOLIICTANTES],Tabla3[[#This Row],[CLIENTES]],CAMBIOS[DIFERENCIA])+
SUMIF(CAMBIOS[SOLIICTANTES],Tabla3[[#This Row],[CLIENTES]],CAMBIOS[COSTOS DE ENVÍO])</f>
        <v>0</v>
      </c>
      <c r="I83" s="10">
        <f>Tabla14[[#This Row],[PENDIENTE]]+Tabla14[[#This Row],[VENTA]]+Tabla14[[#This Row],[RETIRO]]-Tabla14[[#This Row],[COMPRA]]-Tabla14[[#This Row],[PAGO]]+Tabla14[[#This Row],[COMISION]]</f>
        <v>0</v>
      </c>
      <c r="J83" s="10"/>
      <c r="K83" s="3" t="s">
        <v>196</v>
      </c>
    </row>
    <row r="84" spans="2:11" ht="16.2" customHeight="1" x14ac:dyDescent="0.3">
      <c r="B84" s="1">
        <f>Tabla3[[#This Row],[CLIENTES]]</f>
        <v>0</v>
      </c>
      <c r="D84" s="10">
        <f>SUMIF(BOLIVARES[EMISOR],Tabla3[[#This Row],[CLIENTES]],BOLIVARES[DOLARES])</f>
        <v>0</v>
      </c>
      <c r="E84" s="10">
        <f>SUMIF(BOLIVARES[RECEPTOR],Tabla3[[#This Row],[CLIENTES]],BOLIVARES[DOLARES2])</f>
        <v>0</v>
      </c>
      <c r="F84" s="10">
        <f>SUMIF(Tabla12[EMISOR2],Tabla3[[#This Row],[CLIENTES]],Tabla12[MONTO])</f>
        <v>0</v>
      </c>
      <c r="G84" s="10">
        <f>SUMIF(Tabla12[RECEPTOR],Tabla3[[#This Row],[CLIENTES]],Tabla12[MONTO2])</f>
        <v>0</v>
      </c>
      <c r="H84" s="10">
        <f>SUMIF(CAMBIOS[SOLIICTANTES],Tabla3[[#This Row],[CLIENTES]],CAMBIOS[DIFERENCIA])+
SUMIF(CAMBIOS[SOLIICTANTES],Tabla3[[#This Row],[CLIENTES]],CAMBIOS[COSTOS DE ENVÍO])</f>
        <v>0</v>
      </c>
      <c r="I84" s="10">
        <f>Tabla14[[#This Row],[PENDIENTE]]+Tabla14[[#This Row],[VENTA]]+Tabla14[[#This Row],[RETIRO]]-Tabla14[[#This Row],[COMPRA]]-Tabla14[[#This Row],[PAGO]]+Tabla14[[#This Row],[COMISION]]</f>
        <v>0</v>
      </c>
      <c r="J84" s="10"/>
      <c r="K84" s="3"/>
    </row>
    <row r="85" spans="2:11" ht="16.2" customHeight="1" x14ac:dyDescent="0.3">
      <c r="B85" s="1">
        <f>Tabla3[[#This Row],[CLIENTES]]</f>
        <v>0</v>
      </c>
      <c r="D85" s="10">
        <f>SUMIF(BOLIVARES[EMISOR],Tabla3[[#This Row],[CLIENTES]],BOLIVARES[DOLARES])</f>
        <v>0</v>
      </c>
      <c r="E85" s="10">
        <f>SUMIF(BOLIVARES[RECEPTOR],Tabla3[[#This Row],[CLIENTES]],BOLIVARES[DOLARES2])</f>
        <v>0</v>
      </c>
      <c r="F85" s="10">
        <f>SUMIF(Tabla12[EMISOR2],Tabla3[[#This Row],[CLIENTES]],Tabla12[MONTO])</f>
        <v>0</v>
      </c>
      <c r="G85" s="10">
        <f>SUMIF(Tabla12[RECEPTOR],Tabla3[[#This Row],[CLIENTES]],Tabla12[MONTO2])</f>
        <v>0</v>
      </c>
      <c r="H85" s="10">
        <f>SUMIF(CAMBIOS[SOLIICTANTES],Tabla3[[#This Row],[CLIENTES]],CAMBIOS[DIFERENCIA])+
SUMIF(CAMBIOS[SOLIICTANTES],Tabla3[[#This Row],[CLIENTES]],CAMBIOS[COSTOS DE ENVÍO])</f>
        <v>0</v>
      </c>
      <c r="I85" s="10">
        <f>Tabla14[[#This Row],[PENDIENTE]]+Tabla14[[#This Row],[VENTA]]+Tabla14[[#This Row],[RETIRO]]-Tabla14[[#This Row],[COMPRA]]-Tabla14[[#This Row],[PAGO]]+Tabla14[[#This Row],[COMISION]]</f>
        <v>0</v>
      </c>
      <c r="J85" s="10"/>
      <c r="K85" s="3"/>
    </row>
    <row r="86" spans="2:11" ht="16.2" customHeight="1" x14ac:dyDescent="0.3">
      <c r="B86" s="1">
        <f>Tabla3[[#This Row],[CLIENTES]]</f>
        <v>0</v>
      </c>
      <c r="D86" s="10">
        <f>SUMIF(BOLIVARES[EMISOR],Tabla3[[#This Row],[CLIENTES]],BOLIVARES[DOLARES])</f>
        <v>0</v>
      </c>
      <c r="E86" s="10">
        <f>SUMIF(BOLIVARES[RECEPTOR],Tabla3[[#This Row],[CLIENTES]],BOLIVARES[DOLARES2])</f>
        <v>0</v>
      </c>
      <c r="F86" s="10">
        <f>SUMIF(Tabla12[EMISOR2],Tabla3[[#This Row],[CLIENTES]],Tabla12[MONTO])</f>
        <v>0</v>
      </c>
      <c r="G86" s="10">
        <f>SUMIF(Tabla12[RECEPTOR],Tabla3[[#This Row],[CLIENTES]],Tabla12[MONTO2])</f>
        <v>0</v>
      </c>
      <c r="H86" s="10">
        <f>SUMIF(CAMBIOS[SOLIICTANTES],Tabla3[[#This Row],[CLIENTES]],CAMBIOS[DIFERENCIA])+
SUMIF(CAMBIOS[SOLIICTANTES],Tabla3[[#This Row],[CLIENTES]],CAMBIOS[COSTOS DE ENVÍO])</f>
        <v>0</v>
      </c>
      <c r="I86" s="10">
        <f>Tabla14[[#This Row],[PENDIENTE]]+Tabla14[[#This Row],[VENTA]]+Tabla14[[#This Row],[RETIRO]]-Tabla14[[#This Row],[COMPRA]]-Tabla14[[#This Row],[PAGO]]+Tabla14[[#This Row],[COMISION]]</f>
        <v>0</v>
      </c>
      <c r="J86" s="10"/>
      <c r="K86" s="3"/>
    </row>
    <row r="87" spans="2:11" ht="16.2" customHeight="1" x14ac:dyDescent="0.3">
      <c r="B87" s="1">
        <f>Tabla3[[#This Row],[CLIENTES]]</f>
        <v>0</v>
      </c>
      <c r="D87" s="10">
        <f>SUMIF(BOLIVARES[EMISOR],Tabla3[[#This Row],[CLIENTES]],BOLIVARES[DOLARES])</f>
        <v>0</v>
      </c>
      <c r="E87" s="10">
        <f>SUMIF(BOLIVARES[RECEPTOR],Tabla3[[#This Row],[CLIENTES]],BOLIVARES[DOLARES2])</f>
        <v>0</v>
      </c>
      <c r="F87" s="10">
        <f>SUMIF(Tabla12[EMISOR2],Tabla3[[#This Row],[CLIENTES]],Tabla12[MONTO])</f>
        <v>0</v>
      </c>
      <c r="G87" s="10">
        <f>SUMIF(Tabla12[RECEPTOR],Tabla3[[#This Row],[CLIENTES]],Tabla12[MONTO2])</f>
        <v>0</v>
      </c>
      <c r="H87" s="10">
        <f>SUMIF(CAMBIOS[SOLIICTANTES],Tabla3[[#This Row],[CLIENTES]],CAMBIOS[DIFERENCIA])+
SUMIF(CAMBIOS[SOLIICTANTES],Tabla3[[#This Row],[CLIENTES]],CAMBIOS[COSTOS DE ENVÍO])</f>
        <v>0</v>
      </c>
      <c r="I87" s="10">
        <f>Tabla14[[#This Row],[PENDIENTE]]+Tabla14[[#This Row],[VENTA]]+Tabla14[[#This Row],[RETIRO]]-Tabla14[[#This Row],[COMPRA]]-Tabla14[[#This Row],[PAGO]]+Tabla14[[#This Row],[COMISION]]</f>
        <v>0</v>
      </c>
      <c r="J87" s="10"/>
      <c r="K87" s="3"/>
    </row>
    <row r="88" spans="2:11" ht="16.2" customHeight="1" x14ac:dyDescent="0.3">
      <c r="B88" s="1">
        <f>Tabla3[[#This Row],[CLIENTES]]</f>
        <v>0</v>
      </c>
      <c r="D88" s="10">
        <f>SUMIF(BOLIVARES[EMISOR],Tabla3[[#This Row],[CLIENTES]],BOLIVARES[DOLARES])</f>
        <v>0</v>
      </c>
      <c r="E88" s="10">
        <f>SUMIF(BOLIVARES[RECEPTOR],Tabla3[[#This Row],[CLIENTES]],BOLIVARES[DOLARES2])</f>
        <v>0</v>
      </c>
      <c r="F88" s="10">
        <f>SUMIF(Tabla12[EMISOR2],Tabla3[[#This Row],[CLIENTES]],Tabla12[MONTO])</f>
        <v>0</v>
      </c>
      <c r="G88" s="10">
        <f>SUMIF(Tabla12[RECEPTOR],Tabla3[[#This Row],[CLIENTES]],Tabla12[MONTO2])</f>
        <v>0</v>
      </c>
      <c r="H88" s="10">
        <f>SUMIF(CAMBIOS[SOLIICTANTES],Tabla3[[#This Row],[CLIENTES]],CAMBIOS[DIFERENCIA])+
SUMIF(CAMBIOS[SOLIICTANTES],Tabla3[[#This Row],[CLIENTES]],CAMBIOS[COSTOS DE ENVÍO])</f>
        <v>0</v>
      </c>
      <c r="I88" s="10">
        <f>Tabla14[[#This Row],[PENDIENTE]]+Tabla14[[#This Row],[VENTA]]+Tabla14[[#This Row],[RETIRO]]-Tabla14[[#This Row],[COMPRA]]-Tabla14[[#This Row],[PAGO]]+Tabla14[[#This Row],[COMISION]]</f>
        <v>0</v>
      </c>
      <c r="J88" s="10"/>
      <c r="K88" s="3" t="s">
        <v>196</v>
      </c>
    </row>
    <row r="89" spans="2:11" ht="16.2" customHeight="1" x14ac:dyDescent="0.3">
      <c r="B89" s="1">
        <f>Tabla3[[#This Row],[CLIENTES]]</f>
        <v>0</v>
      </c>
      <c r="D89" s="10">
        <f>SUMIF(BOLIVARES[EMISOR],Tabla3[[#This Row],[CLIENTES]],BOLIVARES[DOLARES])</f>
        <v>0</v>
      </c>
      <c r="E89" s="10">
        <f>SUMIF(BOLIVARES[RECEPTOR],Tabla3[[#This Row],[CLIENTES]],BOLIVARES[DOLARES2])</f>
        <v>0</v>
      </c>
      <c r="F89" s="10">
        <f>SUMIF(Tabla12[EMISOR2],Tabla3[[#This Row],[CLIENTES]],Tabla12[MONTO])</f>
        <v>0</v>
      </c>
      <c r="G89" s="10">
        <f>SUMIF(Tabla12[RECEPTOR],Tabla3[[#This Row],[CLIENTES]],Tabla12[MONTO2])</f>
        <v>0</v>
      </c>
      <c r="H89" s="10">
        <f>SUMIF(CAMBIOS[SOLIICTANTES],Tabla3[[#This Row],[CLIENTES]],CAMBIOS[DIFERENCIA])+
SUMIF(CAMBIOS[SOLIICTANTES],Tabla3[[#This Row],[CLIENTES]],CAMBIOS[COSTOS DE ENVÍO])</f>
        <v>0</v>
      </c>
      <c r="I89" s="10">
        <f>Tabla14[[#This Row],[PENDIENTE]]+Tabla14[[#This Row],[VENTA]]+Tabla14[[#This Row],[RETIRO]]-Tabla14[[#This Row],[COMPRA]]-Tabla14[[#This Row],[PAGO]]+Tabla14[[#This Row],[COMISION]]</f>
        <v>0</v>
      </c>
      <c r="J89" s="10"/>
      <c r="K89" s="3"/>
    </row>
    <row r="90" spans="2:11" ht="16.2" customHeight="1" x14ac:dyDescent="0.3">
      <c r="B90" s="1">
        <f>Tabla3[[#This Row],[CLIENTES]]</f>
        <v>0</v>
      </c>
      <c r="D90" s="10">
        <f>SUMIF(BOLIVARES[EMISOR],Tabla3[[#This Row],[CLIENTES]],BOLIVARES[DOLARES])</f>
        <v>0</v>
      </c>
      <c r="E90" s="10">
        <f>SUMIF(BOLIVARES[RECEPTOR],Tabla3[[#This Row],[CLIENTES]],BOLIVARES[DOLARES2])</f>
        <v>0</v>
      </c>
      <c r="F90" s="10">
        <f>SUMIF(Tabla12[EMISOR2],Tabla3[[#This Row],[CLIENTES]],Tabla12[MONTO])</f>
        <v>0</v>
      </c>
      <c r="G90" s="10">
        <f>SUMIF(Tabla12[RECEPTOR],Tabla3[[#This Row],[CLIENTES]],Tabla12[MONTO2])</f>
        <v>0</v>
      </c>
      <c r="H90" s="10">
        <f>SUMIF(CAMBIOS[SOLIICTANTES],Tabla3[[#This Row],[CLIENTES]],CAMBIOS[DIFERENCIA])+
SUMIF(CAMBIOS[SOLIICTANTES],Tabla3[[#This Row],[CLIENTES]],CAMBIOS[COSTOS DE ENVÍO])</f>
        <v>0</v>
      </c>
      <c r="I90" s="10">
        <f>Tabla14[[#This Row],[PENDIENTE]]+Tabla14[[#This Row],[VENTA]]+Tabla14[[#This Row],[RETIRO]]-Tabla14[[#This Row],[COMPRA]]-Tabla14[[#This Row],[PAGO]]+Tabla14[[#This Row],[COMISION]]</f>
        <v>0</v>
      </c>
      <c r="J90" s="10"/>
      <c r="K90" s="3"/>
    </row>
    <row r="91" spans="2:11" ht="16.2" customHeight="1" x14ac:dyDescent="0.3">
      <c r="B91" s="1">
        <f>Tabla3[[#This Row],[CLIENTES]]</f>
        <v>0</v>
      </c>
      <c r="D91" s="10">
        <f>SUMIF(BOLIVARES[EMISOR],Tabla3[[#This Row],[CLIENTES]],BOLIVARES[DOLARES])</f>
        <v>0</v>
      </c>
      <c r="E91" s="10">
        <f>SUMIF(BOLIVARES[RECEPTOR],Tabla3[[#This Row],[CLIENTES]],BOLIVARES[DOLARES2])</f>
        <v>0</v>
      </c>
      <c r="F91" s="10">
        <f>SUMIF(Tabla12[EMISOR2],Tabla3[[#This Row],[CLIENTES]],Tabla12[MONTO])</f>
        <v>0</v>
      </c>
      <c r="G91" s="10">
        <f>SUMIF(Tabla12[RECEPTOR],Tabla3[[#This Row],[CLIENTES]],Tabla12[MONTO2])</f>
        <v>0</v>
      </c>
      <c r="H91" s="10">
        <f>SUMIF(CAMBIOS[SOLIICTANTES],Tabla3[[#This Row],[CLIENTES]],CAMBIOS[DIFERENCIA])+
SUMIF(CAMBIOS[SOLIICTANTES],Tabla3[[#This Row],[CLIENTES]],CAMBIOS[COSTOS DE ENVÍO])</f>
        <v>0</v>
      </c>
      <c r="I91" s="10">
        <f>Tabla14[[#This Row],[PENDIENTE]]+Tabla14[[#This Row],[VENTA]]+Tabla14[[#This Row],[RETIRO]]-Tabla14[[#This Row],[COMPRA]]-Tabla14[[#This Row],[PAGO]]+Tabla14[[#This Row],[COMISION]]</f>
        <v>0</v>
      </c>
      <c r="J91" s="10"/>
      <c r="K91" s="3"/>
    </row>
    <row r="92" spans="2:11" ht="16.2" customHeight="1" x14ac:dyDescent="0.3">
      <c r="B92" s="1">
        <f>Tabla3[[#This Row],[CLIENTES]]</f>
        <v>0</v>
      </c>
      <c r="D92" s="10">
        <f>SUMIF(BOLIVARES[EMISOR],Tabla3[[#This Row],[CLIENTES]],BOLIVARES[DOLARES])</f>
        <v>0</v>
      </c>
      <c r="E92" s="10">
        <f>SUMIF(BOLIVARES[RECEPTOR],Tabla3[[#This Row],[CLIENTES]],BOLIVARES[DOLARES2])</f>
        <v>0</v>
      </c>
      <c r="F92" s="10">
        <f>SUMIF(Tabla12[EMISOR2],Tabla3[[#This Row],[CLIENTES]],Tabla12[MONTO])</f>
        <v>0</v>
      </c>
      <c r="G92" s="10">
        <f>SUMIF(Tabla12[RECEPTOR],Tabla3[[#This Row],[CLIENTES]],Tabla12[MONTO2])</f>
        <v>0</v>
      </c>
      <c r="H92" s="10">
        <f>SUMIF(CAMBIOS[SOLIICTANTES],Tabla3[[#This Row],[CLIENTES]],CAMBIOS[DIFERENCIA])+
SUMIF(CAMBIOS[SOLIICTANTES],Tabla3[[#This Row],[CLIENTES]],CAMBIOS[COSTOS DE ENVÍO])</f>
        <v>0</v>
      </c>
      <c r="I92" s="10">
        <f>Tabla14[[#This Row],[PENDIENTE]]+Tabla14[[#This Row],[VENTA]]+Tabla14[[#This Row],[RETIRO]]-Tabla14[[#This Row],[COMPRA]]-Tabla14[[#This Row],[PAGO]]+Tabla14[[#This Row],[COMISION]]</f>
        <v>0</v>
      </c>
      <c r="J92" s="10"/>
      <c r="K92" s="3"/>
    </row>
    <row r="93" spans="2:11" ht="16.2" customHeight="1" x14ac:dyDescent="0.3">
      <c r="B93" s="1">
        <f>Tabla3[[#This Row],[CLIENTES]]</f>
        <v>0</v>
      </c>
      <c r="D93" s="10">
        <f>SUMIF(BOLIVARES[EMISOR],Tabla3[[#This Row],[CLIENTES]],BOLIVARES[DOLARES])</f>
        <v>0</v>
      </c>
      <c r="E93" s="10">
        <f>SUMIF(BOLIVARES[RECEPTOR],Tabla3[[#This Row],[CLIENTES]],BOLIVARES[DOLARES2])</f>
        <v>0</v>
      </c>
      <c r="F93" s="10">
        <f>SUMIF(Tabla12[EMISOR2],Tabla3[[#This Row],[CLIENTES]],Tabla12[MONTO])</f>
        <v>0</v>
      </c>
      <c r="G93" s="10">
        <f>SUMIF(Tabla12[RECEPTOR],Tabla3[[#This Row],[CLIENTES]],Tabla12[MONTO2])</f>
        <v>0</v>
      </c>
      <c r="H93" s="10">
        <f>SUMIF(CAMBIOS[SOLIICTANTES],Tabla3[[#This Row],[CLIENTES]],CAMBIOS[DIFERENCIA])+
SUMIF(CAMBIOS[SOLIICTANTES],Tabla3[[#This Row],[CLIENTES]],CAMBIOS[COSTOS DE ENVÍO])</f>
        <v>0</v>
      </c>
      <c r="I93" s="10">
        <f>Tabla14[[#This Row],[PENDIENTE]]+Tabla14[[#This Row],[VENTA]]+Tabla14[[#This Row],[RETIRO]]-Tabla14[[#This Row],[COMPRA]]-Tabla14[[#This Row],[PAGO]]+Tabla14[[#This Row],[COMISION]]</f>
        <v>0</v>
      </c>
      <c r="J93" s="10"/>
      <c r="K93" s="3"/>
    </row>
    <row r="94" spans="2:11" ht="16.2" customHeight="1" x14ac:dyDescent="0.3">
      <c r="B94" s="1">
        <f>Tabla3[[#This Row],[CLIENTES]]</f>
        <v>0</v>
      </c>
      <c r="D94" s="10">
        <f>SUMIF(BOLIVARES[EMISOR],Tabla3[[#This Row],[CLIENTES]],BOLIVARES[DOLARES])</f>
        <v>0</v>
      </c>
      <c r="E94" s="10">
        <f>SUMIF(BOLIVARES[RECEPTOR],Tabla3[[#This Row],[CLIENTES]],BOLIVARES[DOLARES2])</f>
        <v>0</v>
      </c>
      <c r="F94" s="10">
        <f>SUMIF(Tabla12[EMISOR2],Tabla3[[#This Row],[CLIENTES]],Tabla12[MONTO])</f>
        <v>0</v>
      </c>
      <c r="G94" s="10">
        <f>SUMIF(Tabla12[RECEPTOR],Tabla3[[#This Row],[CLIENTES]],Tabla12[MONTO2])</f>
        <v>0</v>
      </c>
      <c r="H94" s="10">
        <f>SUMIF(CAMBIOS[SOLIICTANTES],Tabla3[[#This Row],[CLIENTES]],CAMBIOS[DIFERENCIA])+
SUMIF(CAMBIOS[SOLIICTANTES],Tabla3[[#This Row],[CLIENTES]],CAMBIOS[COSTOS DE ENVÍO])</f>
        <v>0</v>
      </c>
      <c r="I94" s="10">
        <f>Tabla14[[#This Row],[PENDIENTE]]+Tabla14[[#This Row],[VENTA]]+Tabla14[[#This Row],[RETIRO]]-Tabla14[[#This Row],[COMPRA]]-Tabla14[[#This Row],[PAGO]]+Tabla14[[#This Row],[COMISION]]</f>
        <v>0</v>
      </c>
      <c r="J94" s="10"/>
      <c r="K94" s="3"/>
    </row>
    <row r="95" spans="2:11" ht="16.2" customHeight="1" x14ac:dyDescent="0.3">
      <c r="B95" s="1">
        <f>Tabla3[[#This Row],[CLIENTES]]</f>
        <v>0</v>
      </c>
      <c r="D95" s="10">
        <f>SUMIF(BOLIVARES[EMISOR],Tabla3[[#This Row],[CLIENTES]],BOLIVARES[DOLARES])</f>
        <v>0</v>
      </c>
      <c r="E95" s="10">
        <f>SUMIF(BOLIVARES[RECEPTOR],Tabla3[[#This Row],[CLIENTES]],BOLIVARES[DOLARES2])</f>
        <v>0</v>
      </c>
      <c r="F95" s="10">
        <f>SUMIF(Tabla12[EMISOR2],Tabla3[[#This Row],[CLIENTES]],Tabla12[MONTO])</f>
        <v>0</v>
      </c>
      <c r="G95" s="10">
        <f>SUMIF(Tabla12[RECEPTOR],Tabla3[[#This Row],[CLIENTES]],Tabla12[MONTO2])</f>
        <v>0</v>
      </c>
      <c r="H95" s="10">
        <f>SUMIF(CAMBIOS[SOLIICTANTES],Tabla3[[#This Row],[CLIENTES]],CAMBIOS[DIFERENCIA])+
SUMIF(CAMBIOS[SOLIICTANTES],Tabla3[[#This Row],[CLIENTES]],CAMBIOS[COSTOS DE ENVÍO])</f>
        <v>0</v>
      </c>
      <c r="I95" s="10">
        <f>Tabla14[[#This Row],[PENDIENTE]]+Tabla14[[#This Row],[VENTA]]+Tabla14[[#This Row],[RETIRO]]-Tabla14[[#This Row],[COMPRA]]-Tabla14[[#This Row],[PAGO]]+Tabla14[[#This Row],[COMISION]]</f>
        <v>0</v>
      </c>
      <c r="J95" s="10"/>
      <c r="K95" s="3"/>
    </row>
    <row r="96" spans="2:11" ht="16.2" customHeight="1" x14ac:dyDescent="0.3">
      <c r="B96" s="1">
        <f>Tabla3[[#This Row],[CLIENTES]]</f>
        <v>0</v>
      </c>
      <c r="D96" s="10">
        <f>SUMIF(BOLIVARES[EMISOR],Tabla3[[#This Row],[CLIENTES]],BOLIVARES[DOLARES])</f>
        <v>0</v>
      </c>
      <c r="E96" s="10">
        <f>SUMIF(BOLIVARES[RECEPTOR],Tabla3[[#This Row],[CLIENTES]],BOLIVARES[DOLARES2])</f>
        <v>0</v>
      </c>
      <c r="F96" s="10">
        <f>SUMIF(Tabla12[EMISOR2],Tabla3[[#This Row],[CLIENTES]],Tabla12[MONTO])</f>
        <v>0</v>
      </c>
      <c r="G96" s="10">
        <f>SUMIF(Tabla12[RECEPTOR],Tabla3[[#This Row],[CLIENTES]],Tabla12[MONTO2])</f>
        <v>0</v>
      </c>
      <c r="H96" s="10">
        <f>SUMIF(CAMBIOS[SOLIICTANTES],Tabla3[[#This Row],[CLIENTES]],CAMBIOS[DIFERENCIA])+
SUMIF(CAMBIOS[SOLIICTANTES],Tabla3[[#This Row],[CLIENTES]],CAMBIOS[COSTOS DE ENVÍO])</f>
        <v>0</v>
      </c>
      <c r="I96" s="10">
        <f>Tabla14[[#This Row],[PENDIENTE]]+Tabla14[[#This Row],[VENTA]]+Tabla14[[#This Row],[RETIRO]]-Tabla14[[#This Row],[COMPRA]]-Tabla14[[#This Row],[PAGO]]+Tabla14[[#This Row],[COMISION]]</f>
        <v>0</v>
      </c>
      <c r="J96" s="10"/>
      <c r="K96" s="3"/>
    </row>
    <row r="97" spans="2:11" ht="16.2" customHeight="1" x14ac:dyDescent="0.3">
      <c r="B97" s="1">
        <f>Tabla3[[#This Row],[CLIENTES]]</f>
        <v>0</v>
      </c>
      <c r="D97" s="10">
        <f>SUMIF(BOLIVARES[EMISOR],Tabla3[[#This Row],[CLIENTES]],BOLIVARES[DOLARES])</f>
        <v>0</v>
      </c>
      <c r="E97" s="10">
        <f>SUMIF(BOLIVARES[RECEPTOR],Tabla3[[#This Row],[CLIENTES]],BOLIVARES[DOLARES2])</f>
        <v>0</v>
      </c>
      <c r="F97" s="10">
        <f>SUMIF(Tabla12[EMISOR2],Tabla3[[#This Row],[CLIENTES]],Tabla12[MONTO])</f>
        <v>0</v>
      </c>
      <c r="G97" s="10">
        <f>SUMIF(Tabla12[RECEPTOR],Tabla3[[#This Row],[CLIENTES]],Tabla12[MONTO2])</f>
        <v>0</v>
      </c>
      <c r="H97" s="10">
        <f>SUMIF(CAMBIOS[SOLIICTANTES],Tabla3[[#This Row],[CLIENTES]],CAMBIOS[DIFERENCIA])+
SUMIF(CAMBIOS[SOLIICTANTES],Tabla3[[#This Row],[CLIENTES]],CAMBIOS[COSTOS DE ENVÍO])</f>
        <v>0</v>
      </c>
      <c r="I97" s="10" t="s">
        <v>208</v>
      </c>
      <c r="J97" s="10"/>
      <c r="K97" s="3"/>
    </row>
    <row r="98" spans="2:11" ht="16.2" customHeight="1" x14ac:dyDescent="0.3">
      <c r="B98" s="1">
        <f>Tabla3[[#This Row],[CLIENTES]]</f>
        <v>0</v>
      </c>
      <c r="D98" s="10">
        <f>SUMIF(BOLIVARES[EMISOR],Tabla3[[#This Row],[CLIENTES]],BOLIVARES[DOLARES])</f>
        <v>0</v>
      </c>
      <c r="E98" s="10">
        <f>SUMIF(BOLIVARES[RECEPTOR],Tabla3[[#This Row],[CLIENTES]],BOLIVARES[DOLARES2])</f>
        <v>0</v>
      </c>
      <c r="F98" s="10">
        <f>SUMIF(Tabla12[EMISOR2],Tabla3[[#This Row],[CLIENTES]],Tabla12[MONTO])</f>
        <v>0</v>
      </c>
      <c r="G98" s="10">
        <f>SUMIF(Tabla12[RECEPTOR],Tabla3[[#This Row],[CLIENTES]],Tabla12[MONTO2])</f>
        <v>0</v>
      </c>
      <c r="H98" s="10">
        <f>SUMIF(CAMBIOS[SOLIICTANTES],Tabla3[[#This Row],[CLIENTES]],CAMBIOS[DIFERENCIA])+
SUMIF(CAMBIOS[SOLIICTANTES],Tabla3[[#This Row],[CLIENTES]],CAMBIOS[COSTOS DE ENVÍO])</f>
        <v>0</v>
      </c>
      <c r="I98" s="10">
        <f>Tabla14[[#This Row],[PENDIENTE]]+Tabla14[[#This Row],[VENTA]]+Tabla14[[#This Row],[RETIRO]]-Tabla14[[#This Row],[COMPRA]]-Tabla14[[#This Row],[PAGO]]+Tabla14[[#This Row],[COMISION]]</f>
        <v>0</v>
      </c>
      <c r="J98" s="10"/>
      <c r="K98" s="3"/>
    </row>
    <row r="99" spans="2:11" ht="16.2" customHeight="1" x14ac:dyDescent="0.3">
      <c r="B99" s="1">
        <f>Tabla3[[#This Row],[CLIENTES]]</f>
        <v>0</v>
      </c>
      <c r="D99" s="10">
        <f>SUMIF(BOLIVARES[EMISOR],Tabla3[[#This Row],[CLIENTES]],BOLIVARES[DOLARES])</f>
        <v>0</v>
      </c>
      <c r="E99" s="10">
        <f>SUMIF(BOLIVARES[RECEPTOR],Tabla3[[#This Row],[CLIENTES]],BOLIVARES[DOLARES2])</f>
        <v>0</v>
      </c>
      <c r="F99" s="10">
        <f>SUMIF(Tabla12[EMISOR2],Tabla3[[#This Row],[CLIENTES]],Tabla12[MONTO])</f>
        <v>0</v>
      </c>
      <c r="G99" s="10">
        <f>SUMIF(Tabla12[RECEPTOR],Tabla3[[#This Row],[CLIENTES]],Tabla12[MONTO2])</f>
        <v>0</v>
      </c>
      <c r="H99" s="10">
        <f>SUMIF(CAMBIOS[SOLIICTANTES],Tabla3[[#This Row],[CLIENTES]],CAMBIOS[DIFERENCIA])+
SUMIF(CAMBIOS[SOLIICTANTES],Tabla3[[#This Row],[CLIENTES]],CAMBIOS[COSTOS DE ENVÍO])</f>
        <v>0</v>
      </c>
      <c r="I99" s="10">
        <f>Tabla14[[#This Row],[PENDIENTE]]+Tabla14[[#This Row],[VENTA]]+Tabla14[[#This Row],[RETIRO]]-Tabla14[[#This Row],[COMPRA]]-Tabla14[[#This Row],[PAGO]]+Tabla14[[#This Row],[COMISION]]</f>
        <v>0</v>
      </c>
      <c r="J99" s="10"/>
      <c r="K99" s="3"/>
    </row>
    <row r="100" spans="2:11" ht="16.2" customHeight="1" x14ac:dyDescent="0.3">
      <c r="B100" s="1">
        <f>Tabla3[[#This Row],[CLIENTES]]</f>
        <v>0</v>
      </c>
      <c r="D100" s="10">
        <f>SUMIF(BOLIVARES[EMISOR],Tabla3[[#This Row],[CLIENTES]],BOLIVARES[DOLARES])</f>
        <v>0</v>
      </c>
      <c r="E100" s="10">
        <f>SUMIF(BOLIVARES[RECEPTOR],Tabla3[[#This Row],[CLIENTES]],BOLIVARES[DOLARES2])</f>
        <v>0</v>
      </c>
      <c r="F100" s="10">
        <f>SUMIF(Tabla12[EMISOR2],Tabla3[[#This Row],[CLIENTES]],Tabla12[MONTO])</f>
        <v>0</v>
      </c>
      <c r="G100" s="10">
        <f>SUMIF(Tabla12[RECEPTOR],Tabla3[[#This Row],[CLIENTES]],Tabla12[MONTO2])</f>
        <v>0</v>
      </c>
      <c r="H100" s="10">
        <f>SUMIF(CAMBIOS[SOLIICTANTES],Tabla3[[#This Row],[CLIENTES]],CAMBIOS[DIFERENCIA])+
SUMIF(CAMBIOS[SOLIICTANTES],Tabla3[[#This Row],[CLIENTES]],CAMBIOS[COSTOS DE ENVÍO])</f>
        <v>0</v>
      </c>
      <c r="I100" s="10">
        <f>Tabla14[[#This Row],[PENDIENTE]]+Tabla14[[#This Row],[VENTA]]+Tabla14[[#This Row],[RETIRO]]-Tabla14[[#This Row],[COMPRA]]-Tabla14[[#This Row],[PAGO]]+Tabla14[[#This Row],[COMISION]]</f>
        <v>0</v>
      </c>
      <c r="J100" s="10"/>
      <c r="K100" s="3"/>
    </row>
    <row r="101" spans="2:11" ht="16.2" customHeight="1" x14ac:dyDescent="0.3">
      <c r="B101" s="1">
        <f>Tabla3[[#This Row],[CLIENTES]]</f>
        <v>0</v>
      </c>
      <c r="D101" s="10">
        <f>SUMIF(BOLIVARES[EMISOR],Tabla3[[#This Row],[CLIENTES]],BOLIVARES[DOLARES])</f>
        <v>0</v>
      </c>
      <c r="E101" s="10">
        <f>SUMIF(BOLIVARES[RECEPTOR],Tabla3[[#This Row],[CLIENTES]],BOLIVARES[DOLARES2])</f>
        <v>0</v>
      </c>
      <c r="F101" s="10">
        <f>SUMIF(Tabla12[EMISOR2],Tabla3[[#This Row],[CLIENTES]],Tabla12[MONTO])</f>
        <v>0</v>
      </c>
      <c r="G101" s="10">
        <f>SUMIF(Tabla12[RECEPTOR],Tabla3[[#This Row],[CLIENTES]],Tabla12[MONTO2])</f>
        <v>0</v>
      </c>
      <c r="H101" s="10">
        <f>SUMIF(CAMBIOS[SOLIICTANTES],Tabla3[[#This Row],[CLIENTES]],CAMBIOS[DIFERENCIA])+
SUMIF(CAMBIOS[SOLIICTANTES],Tabla3[[#This Row],[CLIENTES]],CAMBIOS[COSTOS DE ENVÍO])</f>
        <v>0</v>
      </c>
      <c r="I101" s="50">
        <f>Tabla14[[#This Row],[PENDIENTE]]+Tabla14[[#This Row],[VENTA]]+Tabla14[[#This Row],[RETIRO]]-Tabla14[[#This Row],[COMPRA]]-Tabla14[[#This Row],[PAGO]]+Tabla14[[#This Row],[COMISION]]</f>
        <v>0</v>
      </c>
      <c r="J101" s="50"/>
      <c r="K101" s="3"/>
    </row>
    <row r="102" spans="2:11" ht="16.2" customHeight="1" x14ac:dyDescent="0.3">
      <c r="B102" s="1">
        <f>Tabla3[[#This Row],[CLIENTES]]</f>
        <v>0</v>
      </c>
      <c r="D102" s="10">
        <f>SUMIF(BOLIVARES[EMISOR],Tabla3[[#This Row],[CLIENTES]],BOLIVARES[DOLARES])</f>
        <v>0</v>
      </c>
      <c r="E102" s="10">
        <f>SUMIF(BOLIVARES[RECEPTOR],Tabla3[[#This Row],[CLIENTES]],BOLIVARES[DOLARES2])</f>
        <v>0</v>
      </c>
      <c r="F102" s="10">
        <f>SUMIF(Tabla12[EMISOR2],Tabla3[[#This Row],[CLIENTES]],Tabla12[MONTO])</f>
        <v>0</v>
      </c>
      <c r="G102" s="10">
        <f>SUMIF(Tabla12[RECEPTOR],Tabla3[[#This Row],[CLIENTES]],Tabla12[MONTO2])</f>
        <v>0</v>
      </c>
      <c r="H102" s="10">
        <f>SUMIF(CAMBIOS[SOLIICTANTES],Tabla3[[#This Row],[CLIENTES]],CAMBIOS[DIFERENCIA])+
SUMIF(CAMBIOS[SOLIICTANTES],Tabla3[[#This Row],[CLIENTES]],CAMBIOS[COSTOS DE ENVÍO])</f>
        <v>0</v>
      </c>
      <c r="I102" s="10">
        <f>Tabla14[[#This Row],[PENDIENTE]]+Tabla14[[#This Row],[VENTA]]+Tabla14[[#This Row],[RETIRO]]-Tabla14[[#This Row],[COMPRA]]-Tabla14[[#This Row],[PAGO]]+Tabla14[[#This Row],[COMISION]]</f>
        <v>0</v>
      </c>
      <c r="J102" s="10"/>
      <c r="K102" s="3"/>
    </row>
    <row r="103" spans="2:11" ht="16.2" customHeight="1" x14ac:dyDescent="0.3">
      <c r="B103" s="1">
        <f>Tabla3[[#This Row],[CLIENTES]]</f>
        <v>0</v>
      </c>
      <c r="D103" s="10">
        <f>SUMIF(BOLIVARES[EMISOR],Tabla3[[#This Row],[CLIENTES]],BOLIVARES[DOLARES])</f>
        <v>0</v>
      </c>
      <c r="E103" s="10">
        <f>SUMIF(BOLIVARES[RECEPTOR],Tabla3[[#This Row],[CLIENTES]],BOLIVARES[DOLARES2])</f>
        <v>0</v>
      </c>
      <c r="F103" s="10">
        <f>SUMIF(Tabla12[EMISOR2],Tabla3[[#This Row],[CLIENTES]],Tabla12[MONTO])</f>
        <v>0</v>
      </c>
      <c r="G103" s="10">
        <f>SUMIF(Tabla12[RECEPTOR],Tabla3[[#This Row],[CLIENTES]],Tabla12[MONTO2])</f>
        <v>0</v>
      </c>
      <c r="H103" s="10">
        <f>SUMIF(CAMBIOS[SOLIICTANTES],Tabla3[[#This Row],[CLIENTES]],CAMBIOS[DIFERENCIA])+
SUMIF(CAMBIOS[SOLIICTANTES],Tabla3[[#This Row],[CLIENTES]],CAMBIOS[COSTOS DE ENVÍO])</f>
        <v>0</v>
      </c>
      <c r="I103" s="10">
        <f>Tabla14[[#This Row],[PENDIENTE]]+Tabla14[[#This Row],[VENTA]]+Tabla14[[#This Row],[RETIRO]]-Tabla14[[#This Row],[COMPRA]]-Tabla14[[#This Row],[PAGO]]+Tabla14[[#This Row],[COMISION]]</f>
        <v>0</v>
      </c>
      <c r="J103" s="10"/>
      <c r="K103" s="3" t="s">
        <v>196</v>
      </c>
    </row>
    <row r="104" spans="2:11" ht="16.2" customHeight="1" x14ac:dyDescent="0.3">
      <c r="B104" s="1">
        <f>Tabla3[[#This Row],[CLIENTES]]</f>
        <v>0</v>
      </c>
      <c r="D104" s="10">
        <f>SUMIF(BOLIVARES[EMISOR],Tabla3[[#This Row],[CLIENTES]],BOLIVARES[DOLARES])</f>
        <v>0</v>
      </c>
      <c r="E104" s="10">
        <f>SUMIF(BOLIVARES[RECEPTOR],Tabla3[[#This Row],[CLIENTES]],BOLIVARES[DOLARES2])</f>
        <v>0</v>
      </c>
      <c r="F104" s="10">
        <f>SUMIF(Tabla12[EMISOR2],Tabla3[[#This Row],[CLIENTES]],Tabla12[MONTO])</f>
        <v>0</v>
      </c>
      <c r="G104" s="10">
        <f>SUMIF(Tabla12[RECEPTOR],Tabla3[[#This Row],[CLIENTES]],Tabla12[MONTO2])</f>
        <v>0</v>
      </c>
      <c r="H104" s="10">
        <f>SUMIF(CAMBIOS[SOLIICTANTES],Tabla3[[#This Row],[CLIENTES]],CAMBIOS[DIFERENCIA])+
SUMIF(CAMBIOS[SOLIICTANTES],Tabla3[[#This Row],[CLIENTES]],CAMBIOS[COSTOS DE ENVÍO])</f>
        <v>0</v>
      </c>
      <c r="I104" s="10">
        <f>Tabla14[[#This Row],[PENDIENTE]]+Tabla14[[#This Row],[VENTA]]+Tabla14[[#This Row],[RETIRO]]-Tabla14[[#This Row],[COMPRA]]-Tabla14[[#This Row],[PAGO]]+Tabla14[[#This Row],[COMISION]]</f>
        <v>0</v>
      </c>
      <c r="J104" s="10"/>
      <c r="K104" s="2"/>
    </row>
    <row r="105" spans="2:11" ht="16.2" customHeight="1" x14ac:dyDescent="0.3">
      <c r="B105" s="1">
        <f>Tabla3[[#This Row],[CLIENTES]]</f>
        <v>0</v>
      </c>
      <c r="D105" s="10">
        <f>SUMIF(BOLIVARES[EMISOR],Tabla3[[#This Row],[CLIENTES]],BOLIVARES[DOLARES])</f>
        <v>0</v>
      </c>
      <c r="E105" s="10">
        <f>SUMIF(BOLIVARES[RECEPTOR],Tabla3[[#This Row],[CLIENTES]],BOLIVARES[DOLARES2])</f>
        <v>0</v>
      </c>
      <c r="F105" s="10">
        <f>SUMIF(Tabla12[EMISOR2],Tabla3[[#This Row],[CLIENTES]],Tabla12[MONTO])</f>
        <v>0</v>
      </c>
      <c r="G105" s="10">
        <f>SUMIF(Tabla12[RECEPTOR],Tabla3[[#This Row],[CLIENTES]],Tabla12[MONTO2])</f>
        <v>0</v>
      </c>
      <c r="H105" s="10">
        <f>SUMIF(CAMBIOS[SOLIICTANTES],Tabla3[[#This Row],[CLIENTES]],CAMBIOS[DIFERENCIA])+
SUMIF(CAMBIOS[SOLIICTANTES],Tabla3[[#This Row],[CLIENTES]],CAMBIOS[COSTOS DE ENVÍO])</f>
        <v>0</v>
      </c>
      <c r="I105" s="10">
        <f>Tabla14[[#This Row],[PENDIENTE]]+Tabla14[[#This Row],[VENTA]]+Tabla14[[#This Row],[RETIRO]]-Tabla14[[#This Row],[COMPRA]]-Tabla14[[#This Row],[PAGO]]+Tabla14[[#This Row],[COMISION]]</f>
        <v>0</v>
      </c>
      <c r="J105" s="10"/>
      <c r="K105" s="3" t="s">
        <v>196</v>
      </c>
    </row>
    <row r="106" spans="2:11" ht="16.2" customHeight="1" x14ac:dyDescent="0.3">
      <c r="B106" s="1">
        <f>Tabla3[[#This Row],[CLIENTES]]</f>
        <v>0</v>
      </c>
      <c r="D106" s="10">
        <f>SUMIF(BOLIVARES[EMISOR],Tabla3[[#This Row],[CLIENTES]],BOLIVARES[DOLARES])</f>
        <v>0</v>
      </c>
      <c r="E106" s="10">
        <f>SUMIF(BOLIVARES[RECEPTOR],Tabla3[[#This Row],[CLIENTES]],BOLIVARES[DOLARES2])</f>
        <v>0</v>
      </c>
      <c r="F106" s="10">
        <f>SUMIF(Tabla12[EMISOR2],Tabla3[[#This Row],[CLIENTES]],Tabla12[MONTO])</f>
        <v>0</v>
      </c>
      <c r="G106" s="10">
        <f>SUMIF(Tabla12[RECEPTOR],Tabla3[[#This Row],[CLIENTES]],Tabla12[MONTO2])</f>
        <v>0</v>
      </c>
      <c r="H106" s="10">
        <f>SUMIF(CAMBIOS[SOLIICTANTES],Tabla3[[#This Row],[CLIENTES]],CAMBIOS[DIFERENCIA])+
SUMIF(CAMBIOS[SOLIICTANTES],Tabla3[[#This Row],[CLIENTES]],CAMBIOS[COSTOS DE ENVÍO])</f>
        <v>0</v>
      </c>
      <c r="I106" s="10">
        <f>Tabla14[[#This Row],[PENDIENTE]]+Tabla14[[#This Row],[VENTA]]+Tabla14[[#This Row],[RETIRO]]-Tabla14[[#This Row],[COMPRA]]-Tabla14[[#This Row],[PAGO]]+Tabla14[[#This Row],[COMISION]]</f>
        <v>0</v>
      </c>
      <c r="J106" s="10"/>
      <c r="K106" s="3"/>
    </row>
    <row r="107" spans="2:11" ht="16.2" customHeight="1" x14ac:dyDescent="0.3">
      <c r="B107" s="1">
        <f>Tabla3[[#This Row],[CLIENTES]]</f>
        <v>0</v>
      </c>
      <c r="D107" s="10">
        <f>SUMIF(BOLIVARES[EMISOR],Tabla3[[#This Row],[CLIENTES]],BOLIVARES[DOLARES])</f>
        <v>0</v>
      </c>
      <c r="E107" s="10">
        <f>SUMIF(BOLIVARES[RECEPTOR],Tabla3[[#This Row],[CLIENTES]],BOLIVARES[DOLARES2])</f>
        <v>0</v>
      </c>
      <c r="F107" s="10">
        <f>SUMIF(Tabla12[EMISOR2],Tabla3[[#This Row],[CLIENTES]],Tabla12[MONTO])</f>
        <v>0</v>
      </c>
      <c r="G107" s="10">
        <f>SUMIF(Tabla12[RECEPTOR],Tabla3[[#This Row],[CLIENTES]],Tabla12[MONTO2])</f>
        <v>0</v>
      </c>
      <c r="H107" s="10">
        <f>SUMIF(CAMBIOS[SOLIICTANTES],Tabla3[[#This Row],[CLIENTES]],CAMBIOS[DIFERENCIA])+
SUMIF(CAMBIOS[SOLIICTANTES],Tabla3[[#This Row],[CLIENTES]],CAMBIOS[COSTOS DE ENVÍO])</f>
        <v>0</v>
      </c>
      <c r="I107" s="10">
        <f>Tabla14[[#This Row],[PENDIENTE]]+Tabla14[[#This Row],[VENTA]]+Tabla14[[#This Row],[RETIRO]]-Tabla14[[#This Row],[COMPRA]]-Tabla14[[#This Row],[PAGO]]+Tabla14[[#This Row],[COMISION]]</f>
        <v>0</v>
      </c>
      <c r="J107" s="10"/>
      <c r="K107" s="3"/>
    </row>
    <row r="108" spans="2:11" ht="16.2" customHeight="1" x14ac:dyDescent="0.3">
      <c r="B108" s="1">
        <f>Tabla3[[#This Row],[CLIENTES]]</f>
        <v>0</v>
      </c>
      <c r="D108" s="10">
        <f>SUMIF(BOLIVARES[EMISOR],Tabla3[[#This Row],[CLIENTES]],BOLIVARES[DOLARES])</f>
        <v>0</v>
      </c>
      <c r="E108" s="10">
        <f>SUMIF(BOLIVARES[RECEPTOR],Tabla3[[#This Row],[CLIENTES]],BOLIVARES[DOLARES2])</f>
        <v>0</v>
      </c>
      <c r="F108" s="10">
        <f>SUMIF(Tabla12[EMISOR2],Tabla3[[#This Row],[CLIENTES]],Tabla12[MONTO])</f>
        <v>0</v>
      </c>
      <c r="G108" s="10">
        <f>SUMIF(Tabla12[RECEPTOR],Tabla3[[#This Row],[CLIENTES]],Tabla12[MONTO2])</f>
        <v>0</v>
      </c>
      <c r="H108" s="10">
        <f>SUMIF(CAMBIOS[SOLIICTANTES],Tabla3[[#This Row],[CLIENTES]],CAMBIOS[DIFERENCIA])+
SUMIF(CAMBIOS[SOLIICTANTES],Tabla3[[#This Row],[CLIENTES]],CAMBIOS[COSTOS DE ENVÍO])</f>
        <v>0</v>
      </c>
      <c r="I108" s="10">
        <f>Tabla14[[#This Row],[PENDIENTE]]+Tabla14[[#This Row],[VENTA]]+Tabla14[[#This Row],[RETIRO]]-Tabla14[[#This Row],[COMPRA]]-Tabla14[[#This Row],[PAGO]]+Tabla14[[#This Row],[COMISION]]</f>
        <v>0</v>
      </c>
      <c r="J108" s="10"/>
      <c r="K108" s="3"/>
    </row>
    <row r="109" spans="2:11" ht="16.2" customHeight="1" x14ac:dyDescent="0.3">
      <c r="B109" s="1">
        <f>Tabla3[[#This Row],[CLIENTES]]</f>
        <v>0</v>
      </c>
      <c r="D109" s="10">
        <f>SUMIF(BOLIVARES[EMISOR],Tabla3[[#This Row],[CLIENTES]],BOLIVARES[DOLARES])</f>
        <v>0</v>
      </c>
      <c r="E109" s="10">
        <f>SUMIF(BOLIVARES[RECEPTOR],Tabla3[[#This Row],[CLIENTES]],BOLIVARES[DOLARES2])</f>
        <v>0</v>
      </c>
      <c r="F109" s="10">
        <f>SUMIF(Tabla12[EMISOR2],Tabla3[[#This Row],[CLIENTES]],Tabla12[MONTO])</f>
        <v>0</v>
      </c>
      <c r="G109" s="10">
        <f>SUMIF(Tabla12[RECEPTOR],Tabla3[[#This Row],[CLIENTES]],Tabla12[MONTO2])</f>
        <v>0</v>
      </c>
      <c r="H109" s="10">
        <f>SUMIF(CAMBIOS[SOLIICTANTES],Tabla3[[#This Row],[CLIENTES]],CAMBIOS[DIFERENCIA])+
SUMIF(CAMBIOS[SOLIICTANTES],Tabla3[[#This Row],[CLIENTES]],CAMBIOS[COSTOS DE ENVÍO])</f>
        <v>0</v>
      </c>
      <c r="I109" s="10">
        <f>Tabla14[[#This Row],[PENDIENTE]]+Tabla14[[#This Row],[VENTA]]+Tabla14[[#This Row],[RETIRO]]-Tabla14[[#This Row],[COMPRA]]-Tabla14[[#This Row],[PAGO]]+Tabla14[[#This Row],[COMISION]]</f>
        <v>0</v>
      </c>
      <c r="J109" s="10"/>
      <c r="K109" s="3"/>
    </row>
    <row r="110" spans="2:11" ht="16.2" customHeight="1" x14ac:dyDescent="0.3">
      <c r="B110" s="1">
        <f>Tabla3[[#This Row],[CLIENTES]]</f>
        <v>0</v>
      </c>
      <c r="D110" s="10">
        <f>SUMIF(BOLIVARES[EMISOR],Tabla3[[#This Row],[CLIENTES]],BOLIVARES[DOLARES])</f>
        <v>0</v>
      </c>
      <c r="E110" s="10">
        <f>SUMIF(BOLIVARES[RECEPTOR],Tabla3[[#This Row],[CLIENTES]],BOLIVARES[DOLARES2])</f>
        <v>0</v>
      </c>
      <c r="F110" s="10">
        <f>SUMIF(Tabla12[EMISOR2],Tabla3[[#This Row],[CLIENTES]],Tabla12[MONTO])</f>
        <v>0</v>
      </c>
      <c r="G110" s="10">
        <f>SUMIF(Tabla12[RECEPTOR],Tabla3[[#This Row],[CLIENTES]],Tabla12[MONTO2])</f>
        <v>0</v>
      </c>
      <c r="H110" s="10">
        <f>SUMIF(CAMBIOS[SOLIICTANTES],Tabla3[[#This Row],[CLIENTES]],CAMBIOS[DIFERENCIA])+
SUMIF(CAMBIOS[SOLIICTANTES],Tabla3[[#This Row],[CLIENTES]],CAMBIOS[COSTOS DE ENVÍO])</f>
        <v>0</v>
      </c>
      <c r="I110" s="10">
        <f>Tabla14[[#This Row],[PENDIENTE]]+Tabla14[[#This Row],[VENTA]]+Tabla14[[#This Row],[RETIRO]]-Tabla14[[#This Row],[COMPRA]]-Tabla14[[#This Row],[PAGO]]+Tabla14[[#This Row],[COMISION]]</f>
        <v>0</v>
      </c>
      <c r="J110" s="10"/>
      <c r="K110" s="3"/>
    </row>
    <row r="111" spans="2:11" ht="16.2" customHeight="1" x14ac:dyDescent="0.3">
      <c r="B111" s="1">
        <f>Tabla3[[#This Row],[CLIENTES]]</f>
        <v>0</v>
      </c>
      <c r="D111" s="10">
        <f>SUMIF(BOLIVARES[EMISOR],Tabla3[[#This Row],[CLIENTES]],BOLIVARES[DOLARES])</f>
        <v>0</v>
      </c>
      <c r="E111" s="10">
        <f>SUMIF(BOLIVARES[RECEPTOR],Tabla3[[#This Row],[CLIENTES]],BOLIVARES[DOLARES2])</f>
        <v>0</v>
      </c>
      <c r="F111" s="10">
        <f>SUMIF(Tabla12[EMISOR2],Tabla3[[#This Row],[CLIENTES]],Tabla12[MONTO])</f>
        <v>0</v>
      </c>
      <c r="G111" s="10">
        <f>SUMIF(Tabla12[RECEPTOR],Tabla3[[#This Row],[CLIENTES]],Tabla12[MONTO2])</f>
        <v>0</v>
      </c>
      <c r="H111" s="10">
        <f>SUMIF(CAMBIOS[SOLIICTANTES],Tabla3[[#This Row],[CLIENTES]],CAMBIOS[DIFERENCIA])+
SUMIF(CAMBIOS[SOLIICTANTES],Tabla3[[#This Row],[CLIENTES]],CAMBIOS[COSTOS DE ENVÍO])</f>
        <v>0</v>
      </c>
      <c r="I111" s="10">
        <f>Tabla14[[#This Row],[PENDIENTE]]+Tabla14[[#This Row],[VENTA]]+Tabla14[[#This Row],[RETIRO]]-Tabla14[[#This Row],[COMPRA]]-Tabla14[[#This Row],[PAGO]]+Tabla14[[#This Row],[COMISION]]</f>
        <v>0</v>
      </c>
      <c r="J111" s="10"/>
      <c r="K111" s="3"/>
    </row>
    <row r="112" spans="2:11" ht="16.2" customHeight="1" x14ac:dyDescent="0.3">
      <c r="B112" s="1">
        <f>Tabla3[[#This Row],[CLIENTES]]</f>
        <v>0</v>
      </c>
      <c r="D112" s="10">
        <f>SUMIF(BOLIVARES[EMISOR],Tabla3[[#This Row],[CLIENTES]],BOLIVARES[DOLARES])</f>
        <v>0</v>
      </c>
      <c r="E112" s="10">
        <f>SUMIF(BOLIVARES[RECEPTOR],Tabla3[[#This Row],[CLIENTES]],BOLIVARES[DOLARES2])</f>
        <v>0</v>
      </c>
      <c r="F112" s="10">
        <f>SUMIF(Tabla12[EMISOR2],Tabla3[[#This Row],[CLIENTES]],Tabla12[MONTO])</f>
        <v>0</v>
      </c>
      <c r="G112" s="10">
        <f>SUMIF(Tabla12[RECEPTOR],Tabla3[[#This Row],[CLIENTES]],Tabla12[MONTO2])</f>
        <v>0</v>
      </c>
      <c r="H112" s="10">
        <f>SUMIF(CAMBIOS[SOLIICTANTES],Tabla3[[#This Row],[CLIENTES]],CAMBIOS[DIFERENCIA])+
SUMIF(CAMBIOS[SOLIICTANTES],Tabla3[[#This Row],[CLIENTES]],CAMBIOS[COSTOS DE ENVÍO])</f>
        <v>0</v>
      </c>
      <c r="I112" s="10">
        <f>Tabla14[[#This Row],[PENDIENTE]]+Tabla14[[#This Row],[VENTA]]+Tabla14[[#This Row],[RETIRO]]-Tabla14[[#This Row],[COMPRA]]-Tabla14[[#This Row],[PAGO]]+Tabla14[[#This Row],[COMISION]]</f>
        <v>0</v>
      </c>
      <c r="J112" s="10"/>
      <c r="K112" s="3"/>
    </row>
    <row r="113" spans="2:11" ht="16.2" customHeight="1" x14ac:dyDescent="0.3">
      <c r="B113" s="1">
        <f>Tabla3[[#This Row],[CLIENTES]]</f>
        <v>0</v>
      </c>
      <c r="D113" s="10">
        <f>SUMIF(BOLIVARES[EMISOR],Tabla3[[#This Row],[CLIENTES]],BOLIVARES[DOLARES])</f>
        <v>0</v>
      </c>
      <c r="E113" s="10">
        <f>SUMIF(BOLIVARES[RECEPTOR],Tabla3[[#This Row],[CLIENTES]],BOLIVARES[DOLARES2])</f>
        <v>0</v>
      </c>
      <c r="F113" s="10">
        <f>SUMIF(Tabla12[EMISOR2],Tabla3[[#This Row],[CLIENTES]],Tabla12[MONTO])</f>
        <v>0</v>
      </c>
      <c r="G113" s="10">
        <f>SUMIF(Tabla12[RECEPTOR],Tabla3[[#This Row],[CLIENTES]],Tabla12[MONTO2])</f>
        <v>0</v>
      </c>
      <c r="H113" s="10">
        <f>SUMIF(CAMBIOS[SOLIICTANTES],Tabla3[[#This Row],[CLIENTES]],CAMBIOS[DIFERENCIA])+
SUMIF(CAMBIOS[SOLIICTANTES],Tabla3[[#This Row],[CLIENTES]],CAMBIOS[COSTOS DE ENVÍO])</f>
        <v>0</v>
      </c>
      <c r="I113" s="10">
        <f>Tabla14[[#This Row],[PENDIENTE]]+Tabla14[[#This Row],[VENTA]]+Tabla14[[#This Row],[RETIRO]]-Tabla14[[#This Row],[COMPRA]]-Tabla14[[#This Row],[PAGO]]+Tabla14[[#This Row],[COMISION]]</f>
        <v>0</v>
      </c>
      <c r="J113" s="10"/>
      <c r="K113" s="3"/>
    </row>
    <row r="114" spans="2:11" ht="16.2" customHeight="1" x14ac:dyDescent="0.3">
      <c r="B114" s="1">
        <f>Tabla3[[#This Row],[CLIENTES]]</f>
        <v>0</v>
      </c>
      <c r="D114" s="10">
        <f>SUMIF(BOLIVARES[EMISOR],Tabla3[[#This Row],[CLIENTES]],BOLIVARES[DOLARES])</f>
        <v>0</v>
      </c>
      <c r="E114" s="10">
        <f>SUMIF(BOLIVARES[RECEPTOR],Tabla3[[#This Row],[CLIENTES]],BOLIVARES[DOLARES2])</f>
        <v>0</v>
      </c>
      <c r="F114" s="10">
        <f>SUMIF(Tabla12[EMISOR2],Tabla3[[#This Row],[CLIENTES]],Tabla12[MONTO])</f>
        <v>0</v>
      </c>
      <c r="G114" s="10">
        <f>SUMIF(Tabla12[RECEPTOR],Tabla3[[#This Row],[CLIENTES]],Tabla12[MONTO2])</f>
        <v>0</v>
      </c>
      <c r="H114" s="10">
        <f>SUMIF(CAMBIOS[SOLIICTANTES],Tabla3[[#This Row],[CLIENTES]],CAMBIOS[DIFERENCIA])+
SUMIF(CAMBIOS[SOLIICTANTES],Tabla3[[#This Row],[CLIENTES]],CAMBIOS[COSTOS DE ENVÍO])</f>
        <v>0</v>
      </c>
      <c r="I114" s="10">
        <f>Tabla14[[#This Row],[PENDIENTE]]+Tabla14[[#This Row],[VENTA]]+Tabla14[[#This Row],[RETIRO]]-Tabla14[[#This Row],[COMPRA]]-Tabla14[[#This Row],[PAGO]]+Tabla14[[#This Row],[COMISION]]</f>
        <v>0</v>
      </c>
      <c r="J114" s="10"/>
      <c r="K114" s="3"/>
    </row>
    <row r="115" spans="2:11" x14ac:dyDescent="0.3">
      <c r="E115" s="2"/>
      <c r="I115" s="10"/>
      <c r="J115" s="2"/>
      <c r="K115" s="3"/>
    </row>
    <row r="116" spans="2:11" x14ac:dyDescent="0.3">
      <c r="E116" s="2"/>
      <c r="I116" s="10"/>
      <c r="J116" s="2"/>
      <c r="K116" s="3"/>
    </row>
    <row r="117" spans="2:11" x14ac:dyDescent="0.3">
      <c r="E117" s="2"/>
      <c r="I117" s="10"/>
      <c r="J117" s="2"/>
      <c r="K117" s="3"/>
    </row>
    <row r="118" spans="2:11" x14ac:dyDescent="0.3">
      <c r="E118" s="2"/>
      <c r="I118" s="10"/>
      <c r="J118" s="2"/>
      <c r="K118" s="3"/>
    </row>
    <row r="119" spans="2:11" x14ac:dyDescent="0.3">
      <c r="E119" s="2"/>
      <c r="I119" s="10"/>
      <c r="J119" s="2"/>
      <c r="K119" s="3"/>
    </row>
    <row r="120" spans="2:11" x14ac:dyDescent="0.3">
      <c r="E120" s="2"/>
      <c r="I120" s="10"/>
      <c r="J120" s="2"/>
      <c r="K120" s="3"/>
    </row>
    <row r="121" spans="2:11" x14ac:dyDescent="0.3">
      <c r="E121" s="2"/>
      <c r="I121" s="10"/>
      <c r="J121" s="2"/>
      <c r="K121" s="3"/>
    </row>
    <row r="122" spans="2:11" x14ac:dyDescent="0.3">
      <c r="E122" s="2"/>
      <c r="I122" s="10"/>
      <c r="J122" s="2"/>
      <c r="K122" s="3"/>
    </row>
    <row r="123" spans="2:11" x14ac:dyDescent="0.3">
      <c r="E123" s="2"/>
      <c r="I123" s="10"/>
      <c r="J123" s="2"/>
      <c r="K123" s="3"/>
    </row>
    <row r="124" spans="2:11" x14ac:dyDescent="0.3">
      <c r="E124" s="2"/>
      <c r="I124" s="10"/>
      <c r="J124" s="2"/>
      <c r="K124" s="3"/>
    </row>
    <row r="125" spans="2:11" x14ac:dyDescent="0.3">
      <c r="E125" s="2"/>
      <c r="I125" s="10"/>
      <c r="J125" s="2"/>
      <c r="K125" s="3"/>
    </row>
    <row r="126" spans="2:11" x14ac:dyDescent="0.3">
      <c r="E126" s="2"/>
      <c r="I126" s="10"/>
      <c r="J126" s="2"/>
      <c r="K126" s="3"/>
    </row>
    <row r="127" spans="2:11" x14ac:dyDescent="0.3">
      <c r="E127" s="2"/>
      <c r="I127" s="10"/>
      <c r="J127" s="2"/>
      <c r="K127" s="3"/>
    </row>
    <row r="128" spans="2:11" x14ac:dyDescent="0.3">
      <c r="E128" s="2"/>
      <c r="I128" s="10"/>
      <c r="J128" s="2"/>
      <c r="K128" s="3"/>
    </row>
    <row r="129" spans="5:11" x14ac:dyDescent="0.3">
      <c r="E129" s="2"/>
      <c r="I129" s="10"/>
      <c r="J129" s="2"/>
      <c r="K129" s="3"/>
    </row>
    <row r="130" spans="5:11" x14ac:dyDescent="0.3">
      <c r="E130" s="2"/>
      <c r="I130" s="10"/>
      <c r="J130" s="2"/>
      <c r="K130" s="3"/>
    </row>
    <row r="131" spans="5:11" x14ac:dyDescent="0.3">
      <c r="E131" s="2"/>
      <c r="I131" s="10"/>
      <c r="J131" s="2"/>
      <c r="K131" s="3"/>
    </row>
    <row r="132" spans="5:11" x14ac:dyDescent="0.3">
      <c r="E132" s="2"/>
      <c r="I132" s="10"/>
      <c r="J132" s="2"/>
      <c r="K132" s="3"/>
    </row>
    <row r="133" spans="5:11" x14ac:dyDescent="0.3">
      <c r="E133" s="2"/>
      <c r="I133" s="10"/>
      <c r="J133" s="2"/>
      <c r="K133" s="3"/>
    </row>
    <row r="134" spans="5:11" x14ac:dyDescent="0.3">
      <c r="E134" s="2"/>
      <c r="I134" s="10"/>
      <c r="J134" s="2"/>
      <c r="K134" s="3"/>
    </row>
    <row r="135" spans="5:11" x14ac:dyDescent="0.3">
      <c r="E135" s="2"/>
      <c r="I135" s="10"/>
      <c r="J135" s="2"/>
      <c r="K135" s="3"/>
    </row>
    <row r="136" spans="5:11" x14ac:dyDescent="0.3">
      <c r="E136" s="2"/>
      <c r="I136" s="10"/>
      <c r="J136" s="2"/>
      <c r="K136" s="3"/>
    </row>
    <row r="137" spans="5:11" x14ac:dyDescent="0.3">
      <c r="E137" s="2"/>
      <c r="I137" s="10"/>
      <c r="J137" s="2"/>
      <c r="K137" s="3"/>
    </row>
    <row r="138" spans="5:11" x14ac:dyDescent="0.3">
      <c r="E138" s="2"/>
      <c r="I138" s="10"/>
      <c r="J138" s="2"/>
      <c r="K138" s="3"/>
    </row>
    <row r="139" spans="5:11" x14ac:dyDescent="0.3">
      <c r="E139" s="2"/>
      <c r="I139" s="10"/>
      <c r="J139" s="2"/>
      <c r="K139" s="3"/>
    </row>
    <row r="140" spans="5:11" x14ac:dyDescent="0.3">
      <c r="E140" s="2"/>
      <c r="I140" s="10"/>
      <c r="J140" s="2"/>
      <c r="K140" s="3"/>
    </row>
    <row r="141" spans="5:11" x14ac:dyDescent="0.3">
      <c r="E141" s="2"/>
      <c r="I141" s="10"/>
      <c r="J141" s="2"/>
      <c r="K141" s="3"/>
    </row>
  </sheetData>
  <mergeCells count="1">
    <mergeCell ref="L45:L47"/>
  </mergeCells>
  <phoneticPr fontId="3" type="noConversion"/>
  <pageMargins left="0.7" right="0.7" top="0.75" bottom="0.75" header="0.3" footer="0.3"/>
  <ignoredErrors>
    <ignoredError sqref="H3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2F071-E087-8747-A4C2-9AF3DD4DF97B}">
  <dimension ref="B2:I44"/>
  <sheetViews>
    <sheetView zoomScale="79" zoomScaleNormal="81" workbookViewId="0">
      <selection activeCell="F23" sqref="F23"/>
    </sheetView>
  </sheetViews>
  <sheetFormatPr baseColWidth="10" defaultColWidth="11" defaultRowHeight="15.6" x14ac:dyDescent="0.3"/>
  <cols>
    <col min="2" max="2" width="20.69921875" customWidth="1"/>
    <col min="3" max="3" width="14.69921875" style="4" customWidth="1"/>
    <col min="4" max="5" width="15.69921875" style="4" customWidth="1"/>
    <col min="6" max="6" width="17.69921875" style="11" customWidth="1"/>
    <col min="7" max="8" width="15.69921875" style="4" customWidth="1"/>
    <col min="9" max="9" width="55.19921875" customWidth="1"/>
  </cols>
  <sheetData>
    <row r="2" spans="2:9" x14ac:dyDescent="0.3">
      <c r="B2" s="1" t="s">
        <v>15</v>
      </c>
      <c r="C2" s="5" t="s">
        <v>46</v>
      </c>
      <c r="D2" s="5" t="s">
        <v>52</v>
      </c>
      <c r="E2" s="5" t="s">
        <v>53</v>
      </c>
      <c r="F2" s="10" t="s">
        <v>47</v>
      </c>
      <c r="G2" s="5" t="s">
        <v>54</v>
      </c>
      <c r="H2" s="5" t="s">
        <v>55</v>
      </c>
      <c r="I2" s="1" t="s">
        <v>106</v>
      </c>
    </row>
    <row r="3" spans="2:9" x14ac:dyDescent="0.3">
      <c r="B3" s="1" t="str">
        <f>Tabla4[[#This Row],[BANCOS]]</f>
        <v>BAN ALE</v>
      </c>
      <c r="C3" s="10"/>
      <c r="D3" s="10">
        <f>SUMIF(BOLIVARES[RECEPTOR],Tabla4[[#This Row],[BANCOS]],BOLIVARES[BOLIVARES1])</f>
        <v>0</v>
      </c>
      <c r="E3" s="10">
        <f>SUMIF(BOLIVARES[EMISOR],Tabla4[[#This Row],[BANCOS]],BOLIVARES[BOLIVARES1])+
SUMIF(BOLIVARES[EMISOR],Tabla4[[#This Row],[BANCOS]],BOLIVARES[COMISION])</f>
        <v>0</v>
      </c>
      <c r="F3" s="10">
        <f>Tabla16[[#This Row],[ACUMULADO]]+Tabla16[[#This Row],[INGRESO]]-Tabla16[[#This Row],[EGRESO]]</f>
        <v>0</v>
      </c>
      <c r="G3" s="10"/>
      <c r="H3" s="10">
        <f>Tabla16[[#This Row],[SALDO]]-Tabla16[[#This Row],[DISPONIBLE]]</f>
        <v>0</v>
      </c>
      <c r="I3" s="2"/>
    </row>
    <row r="4" spans="2:9" x14ac:dyDescent="0.3">
      <c r="B4" s="1" t="str">
        <f>Tabla4[[#This Row],[BANCOS]]</f>
        <v>BAN ANA K</v>
      </c>
      <c r="C4" s="10">
        <v>600000</v>
      </c>
      <c r="D4" s="10">
        <f>SUMIF(BOLIVARES[RECEPTOR],Tabla4[[#This Row],[BANCOS]],BOLIVARES[BOLIVARES1])</f>
        <v>0</v>
      </c>
      <c r="E4" s="10">
        <f>SUMIF(BOLIVARES[EMISOR],Tabla4[[#This Row],[BANCOS]],BOLIVARES[BOLIVARES1])+
SUMIF(BOLIVARES[EMISOR],Tabla4[[#This Row],[BANCOS]],BOLIVARES[COMISION])</f>
        <v>0</v>
      </c>
      <c r="F4" s="10">
        <f>Tabla16[[#This Row],[ACUMULADO]]+Tabla16[[#This Row],[INGRESO]]-Tabla16[[#This Row],[EGRESO]]</f>
        <v>600000</v>
      </c>
      <c r="G4" s="10"/>
      <c r="H4" s="10">
        <f>Tabla16[[#This Row],[SALDO]]-Tabla16[[#This Row],[DISPONIBLE]]</f>
        <v>600000</v>
      </c>
      <c r="I4" s="2"/>
    </row>
    <row r="5" spans="2:9" x14ac:dyDescent="0.3">
      <c r="B5" s="1" t="str">
        <f>Tabla4[[#This Row],[BANCOS]]</f>
        <v>BAN BEA</v>
      </c>
      <c r="C5" s="10">
        <v>422000</v>
      </c>
      <c r="D5" s="10">
        <f>SUMIF(BOLIVARES[RECEPTOR],Tabla4[[#This Row],[BANCOS]],BOLIVARES[BOLIVARES1])</f>
        <v>0</v>
      </c>
      <c r="E5" s="10">
        <f>SUMIF(BOLIVARES[EMISOR],Tabla4[[#This Row],[BANCOS]],BOLIVARES[BOLIVARES1])+
SUMIF(BOLIVARES[EMISOR],Tabla4[[#This Row],[BANCOS]],BOLIVARES[COMISION])</f>
        <v>0</v>
      </c>
      <c r="F5" s="10">
        <f>Tabla16[[#This Row],[ACUMULADO]]+Tabla16[[#This Row],[INGRESO]]-Tabla16[[#This Row],[EGRESO]]</f>
        <v>422000</v>
      </c>
      <c r="G5" s="10"/>
      <c r="H5" s="10">
        <f>Tabla16[[#This Row],[SALDO]]-Tabla16[[#This Row],[DISPONIBLE]]</f>
        <v>422000</v>
      </c>
      <c r="I5" s="2"/>
    </row>
    <row r="6" spans="2:9" x14ac:dyDescent="0.3">
      <c r="B6" s="1" t="str">
        <f>Tabla4[[#This Row],[BANCOS]]</f>
        <v xml:space="preserve">BAN BEL </v>
      </c>
      <c r="C6" s="10"/>
      <c r="D6" s="10">
        <f>SUMIF(BOLIVARES[RECEPTOR],Tabla4[[#This Row],[BANCOS]],BOLIVARES[BOLIVARES1])</f>
        <v>0</v>
      </c>
      <c r="E6" s="10">
        <f>SUMIF(BOLIVARES[EMISOR],Tabla4[[#This Row],[BANCOS]],BOLIVARES[BOLIVARES1])+
SUMIF(BOLIVARES[EMISOR],Tabla4[[#This Row],[BANCOS]],BOLIVARES[COMISION])</f>
        <v>0</v>
      </c>
      <c r="F6" s="10">
        <f>Tabla16[[#This Row],[ACUMULADO]]+Tabla16[[#This Row],[INGRESO]]-Tabla16[[#This Row],[EGRESO]]</f>
        <v>0</v>
      </c>
      <c r="G6" s="10"/>
      <c r="H6" s="10">
        <f>Tabla16[[#This Row],[SALDO]]-Tabla16[[#This Row],[DISPONIBLE]]</f>
        <v>0</v>
      </c>
      <c r="I6" s="2"/>
    </row>
    <row r="7" spans="2:9" x14ac:dyDescent="0.3">
      <c r="B7" s="1" t="str">
        <f>Tabla4[[#This Row],[BANCOS]]</f>
        <v>BAN EVE</v>
      </c>
      <c r="C7" s="10">
        <v>20409.05</v>
      </c>
      <c r="D7" s="10">
        <f>SUMIF(BOLIVARES[RECEPTOR],Tabla4[[#This Row],[BANCOS]],BOLIVARES[BOLIVARES1])</f>
        <v>0</v>
      </c>
      <c r="E7" s="10">
        <f>SUMIF(BOLIVARES[EMISOR],Tabla4[[#This Row],[BANCOS]],BOLIVARES[BOLIVARES1])+
SUMIF(BOLIVARES[EMISOR],Tabla4[[#This Row],[BANCOS]],BOLIVARES[COMISION])</f>
        <v>0</v>
      </c>
      <c r="F7" s="10">
        <f>Tabla16[[#This Row],[ACUMULADO]]+Tabla16[[#This Row],[INGRESO]]-Tabla16[[#This Row],[EGRESO]]</f>
        <v>20409.05</v>
      </c>
      <c r="G7" s="10"/>
      <c r="H7" s="10">
        <f>Tabla16[[#This Row],[SALDO]]-Tabla16[[#This Row],[DISPONIBLE]]</f>
        <v>20409.05</v>
      </c>
      <c r="I7" s="2"/>
    </row>
    <row r="8" spans="2:9" x14ac:dyDescent="0.3">
      <c r="B8" s="1" t="str">
        <f>Tabla4[[#This Row],[BANCOS]]</f>
        <v>BAN JOH</v>
      </c>
      <c r="C8" s="10">
        <v>92994.63</v>
      </c>
      <c r="D8" s="10">
        <f>SUMIF(BOLIVARES[RECEPTOR],Tabla4[[#This Row],[BANCOS]],BOLIVARES[BOLIVARES1])</f>
        <v>100000</v>
      </c>
      <c r="E8" s="10">
        <f>SUMIF(BOLIVARES[EMISOR],Tabla4[[#This Row],[BANCOS]],BOLIVARES[BOLIVARES1])+
SUMIF(BOLIVARES[EMISOR],Tabla4[[#This Row],[BANCOS]],BOLIVARES[COMISION])</f>
        <v>0</v>
      </c>
      <c r="F8" s="10">
        <f>Tabla16[[#This Row],[ACUMULADO]]+Tabla16[[#This Row],[INGRESO]]-Tabla16[[#This Row],[EGRESO]]</f>
        <v>192994.63</v>
      </c>
      <c r="G8" s="10"/>
      <c r="H8" s="10">
        <f>Tabla16[[#This Row],[SALDO]]-Tabla16[[#This Row],[DISPONIBLE]]</f>
        <v>192994.63</v>
      </c>
      <c r="I8" s="2"/>
    </row>
    <row r="9" spans="2:9" x14ac:dyDescent="0.3">
      <c r="B9" s="1" t="str">
        <f>Tabla4[[#This Row],[BANCOS]]</f>
        <v>BAN KAR</v>
      </c>
      <c r="C9" s="27"/>
      <c r="D9" s="10">
        <f>SUMIF(BOLIVARES[RECEPTOR],Tabla4[[#This Row],[BANCOS]],BOLIVARES[BOLIVARES1])</f>
        <v>0</v>
      </c>
      <c r="E9" s="10">
        <f>SUMIF(BOLIVARES[EMISOR],Tabla4[[#This Row],[BANCOS]],BOLIVARES[BOLIVARES1])+
SUMIF(BOLIVARES[EMISOR],Tabla4[[#This Row],[BANCOS]],BOLIVARES[COMISION])</f>
        <v>0</v>
      </c>
      <c r="F9" s="10">
        <f>Tabla16[[#This Row],[ACUMULADO]]+Tabla16[[#This Row],[INGRESO]]-Tabla16[[#This Row],[EGRESO]]</f>
        <v>0</v>
      </c>
      <c r="G9" s="10"/>
      <c r="H9" s="10">
        <f>Tabla16[[#This Row],[SALDO]]-Tabla16[[#This Row],[DISPONIBLE]]</f>
        <v>0</v>
      </c>
      <c r="I9" s="2"/>
    </row>
    <row r="10" spans="2:9" x14ac:dyDescent="0.3">
      <c r="B10" s="1" t="str">
        <f>Tabla4[[#This Row],[BANCOS]]</f>
        <v>BAN SAR</v>
      </c>
      <c r="C10" s="27">
        <v>6900</v>
      </c>
      <c r="D10" s="10">
        <f>SUMIF(BOLIVARES[RECEPTOR],Tabla4[[#This Row],[BANCOS]],BOLIVARES[BOLIVARES1])</f>
        <v>0</v>
      </c>
      <c r="E10" s="10">
        <f>SUMIF(BOLIVARES[EMISOR],Tabla4[[#This Row],[BANCOS]],BOLIVARES[BOLIVARES1])+
SUMIF(BOLIVARES[EMISOR],Tabla4[[#This Row],[BANCOS]],BOLIVARES[COMISION])</f>
        <v>0</v>
      </c>
      <c r="F10" s="10">
        <f>Tabla16[[#This Row],[ACUMULADO]]+Tabla16[[#This Row],[INGRESO]]-Tabla16[[#This Row],[EGRESO]]</f>
        <v>6900</v>
      </c>
      <c r="G10" s="10"/>
      <c r="H10" s="10">
        <f>Tabla16[[#This Row],[SALDO]]-Tabla16[[#This Row],[DISPONIBLE]]</f>
        <v>6900</v>
      </c>
      <c r="I10" s="2"/>
    </row>
    <row r="11" spans="2:9" x14ac:dyDescent="0.3">
      <c r="B11" s="1" t="str">
        <f>Tabla4[[#This Row],[BANCOS]]</f>
        <v>MER SAR</v>
      </c>
      <c r="C11" s="27"/>
      <c r="D11" s="10">
        <f>SUMIF(BOLIVARES[RECEPTOR],Tabla4[[#This Row],[BANCOS]],BOLIVARES[BOLIVARES1])</f>
        <v>0</v>
      </c>
      <c r="E11" s="10">
        <f>SUMIF(BOLIVARES[EMISOR],Tabla4[[#This Row],[BANCOS]],BOLIVARES[BOLIVARES1])+
SUMIF(BOLIVARES[EMISOR],Tabla4[[#This Row],[BANCOS]],BOLIVARES[COMISION])</f>
        <v>0</v>
      </c>
      <c r="F11" s="10">
        <f>Tabla16[[#This Row],[ACUMULADO]]+Tabla16[[#This Row],[INGRESO]]-Tabla16[[#This Row],[EGRESO]]</f>
        <v>0</v>
      </c>
      <c r="G11" s="10"/>
      <c r="H11" s="10">
        <f>Tabla16[[#This Row],[SALDO]]-Tabla16[[#This Row],[DISPONIBLE]]</f>
        <v>0</v>
      </c>
      <c r="I11" s="2"/>
    </row>
    <row r="12" spans="2:9" x14ac:dyDescent="0.3">
      <c r="B12" s="1" t="str">
        <f>Tabla4[[#This Row],[BANCOS]]</f>
        <v>MERC BEL</v>
      </c>
      <c r="C12" s="27">
        <v>22790.29</v>
      </c>
      <c r="D12" s="10">
        <f>SUMIF(BOLIVARES[RECEPTOR],Tabla4[[#This Row],[BANCOS]],BOLIVARES[BOLIVARES1])</f>
        <v>0</v>
      </c>
      <c r="E12" s="10">
        <f>SUMIF(BOLIVARES[EMISOR],Tabla4[[#This Row],[BANCOS]],BOLIVARES[BOLIVARES1])+
SUMIF(BOLIVARES[EMISOR],Tabla4[[#This Row],[BANCOS]],BOLIVARES[COMISION])</f>
        <v>0</v>
      </c>
      <c r="F12" s="10">
        <f>Tabla16[[#This Row],[ACUMULADO]]+Tabla16[[#This Row],[INGRESO]]-Tabla16[[#This Row],[EGRESO]]</f>
        <v>22790.29</v>
      </c>
      <c r="G12" s="10"/>
      <c r="H12" s="10">
        <f>Tabla16[[#This Row],[SALDO]]-Tabla16[[#This Row],[DISPONIBLE]]</f>
        <v>22790.29</v>
      </c>
      <c r="I12" s="2"/>
    </row>
    <row r="13" spans="2:9" x14ac:dyDescent="0.3">
      <c r="B13" s="1" t="str">
        <f>Tabla4[[#This Row],[BANCOS]]</f>
        <v>MERC EVE</v>
      </c>
      <c r="C13" s="27">
        <v>142.72999999999999</v>
      </c>
      <c r="D13" s="10">
        <f>SUMIF(BOLIVARES[RECEPTOR],Tabla4[[#This Row],[BANCOS]],BOLIVARES[BOLIVARES1])</f>
        <v>0</v>
      </c>
      <c r="E13" s="10">
        <f>SUMIF(BOLIVARES[EMISOR],Tabla4[[#This Row],[BANCOS]],BOLIVARES[BOLIVARES1])+
SUMIF(BOLIVARES[EMISOR],Tabla4[[#This Row],[BANCOS]],BOLIVARES[COMISION])</f>
        <v>0</v>
      </c>
      <c r="F13" s="10">
        <f>Tabla16[[#This Row],[ACUMULADO]]+Tabla16[[#This Row],[INGRESO]]-Tabla16[[#This Row],[EGRESO]]</f>
        <v>142.72999999999999</v>
      </c>
      <c r="G13" s="10"/>
      <c r="H13" s="10">
        <f>Tabla16[[#This Row],[SALDO]]-Tabla16[[#This Row],[DISPONIBLE]]</f>
        <v>142.72999999999999</v>
      </c>
      <c r="I13" s="2"/>
    </row>
    <row r="14" spans="2:9" x14ac:dyDescent="0.3">
      <c r="B14" s="1" t="str">
        <f>Tabla4[[#This Row],[BANCOS]]</f>
        <v>MERC JOH</v>
      </c>
      <c r="C14" s="27">
        <v>301640.46999999997</v>
      </c>
      <c r="D14" s="10">
        <f>SUMIF(BOLIVARES[RECEPTOR],Tabla4[[#This Row],[BANCOS]],BOLIVARES[BOLIVARES1])</f>
        <v>0</v>
      </c>
      <c r="E14" s="10">
        <f>SUMIF(BOLIVARES[EMISOR],Tabla4[[#This Row],[BANCOS]],BOLIVARES[BOLIVARES1])+
SUMIF(BOLIVARES[EMISOR],Tabla4[[#This Row],[BANCOS]],BOLIVARES[COMISION])</f>
        <v>0</v>
      </c>
      <c r="F14" s="10">
        <f>Tabla16[[#This Row],[ACUMULADO]]+Tabla16[[#This Row],[INGRESO]]-Tabla16[[#This Row],[EGRESO]]</f>
        <v>301640.46999999997</v>
      </c>
      <c r="G14" s="10"/>
      <c r="H14" s="10">
        <f>Tabla16[[#This Row],[SALDO]]-Tabla16[[#This Row],[DISPONIBLE]]</f>
        <v>301640.46999999997</v>
      </c>
      <c r="I14" s="2"/>
    </row>
    <row r="15" spans="2:9" x14ac:dyDescent="0.3">
      <c r="B15" s="1" t="str">
        <f>Tabla4[[#This Row],[BANCOS]]</f>
        <v>MERC KAR</v>
      </c>
      <c r="C15" s="27">
        <v>430600.64</v>
      </c>
      <c r="D15" s="10">
        <f>SUMIF(BOLIVARES[RECEPTOR],Tabla4[[#This Row],[BANCOS]],BOLIVARES[BOLIVARES1])</f>
        <v>0</v>
      </c>
      <c r="E15" s="10">
        <f>SUMIF(BOLIVARES[EMISOR],Tabla4[[#This Row],[BANCOS]],BOLIVARES[BOLIVARES1])+
SUMIF(BOLIVARES[EMISOR],Tabla4[[#This Row],[BANCOS]],BOLIVARES[COMISION])</f>
        <v>80000</v>
      </c>
      <c r="F15" s="10">
        <f>Tabla16[[#This Row],[ACUMULADO]]+Tabla16[[#This Row],[INGRESO]]-Tabla16[[#This Row],[EGRESO]]</f>
        <v>350600.64</v>
      </c>
      <c r="G15" s="10"/>
      <c r="H15" s="10">
        <f>Tabla16[[#This Row],[SALDO]]-Tabla16[[#This Row],[DISPONIBLE]]</f>
        <v>350600.64</v>
      </c>
      <c r="I15" s="2"/>
    </row>
    <row r="16" spans="2:9" x14ac:dyDescent="0.3">
      <c r="B16" s="1" t="str">
        <f>Tabla4[[#This Row],[BANCOS]]</f>
        <v>PROV EVE</v>
      </c>
      <c r="C16" s="27">
        <v>4694.29</v>
      </c>
      <c r="D16" s="10">
        <f>SUMIF(BOLIVARES[RECEPTOR],Tabla4[[#This Row],[BANCOS]],BOLIVARES[BOLIVARES1])</f>
        <v>0</v>
      </c>
      <c r="E16" s="10">
        <f>SUMIF(BOLIVARES[EMISOR],Tabla4[[#This Row],[BANCOS]],BOLIVARES[BOLIVARES1])+
SUMIF(BOLIVARES[EMISOR],Tabla4[[#This Row],[BANCOS]],BOLIVARES[COMISION])</f>
        <v>0</v>
      </c>
      <c r="F16" s="10">
        <f>Tabla16[[#This Row],[ACUMULADO]]+Tabla16[[#This Row],[INGRESO]]-Tabla16[[#This Row],[EGRESO]]</f>
        <v>4694.29</v>
      </c>
      <c r="G16" s="10"/>
      <c r="H16" s="10">
        <f>Tabla16[[#This Row],[SALDO]]-Tabla16[[#This Row],[DISPONIBLE]]</f>
        <v>4694.29</v>
      </c>
      <c r="I16" s="2"/>
    </row>
    <row r="17" spans="2:9" x14ac:dyDescent="0.3">
      <c r="B17" s="1" t="str">
        <f>Tabla4[[#This Row],[BANCOS]]</f>
        <v>PROV JOH</v>
      </c>
      <c r="C17" s="47"/>
      <c r="D17" s="10">
        <f>SUMIF(BOLIVARES[RECEPTOR],Tabla4[[#This Row],[BANCOS]],BOLIVARES[BOLIVARES1])</f>
        <v>0</v>
      </c>
      <c r="E17" s="10">
        <f>SUMIF(BOLIVARES[EMISOR],Tabla4[[#This Row],[BANCOS]],BOLIVARES[BOLIVARES1])+
SUMIF(BOLIVARES[EMISOR],Tabla4[[#This Row],[BANCOS]],BOLIVARES[COMISION])</f>
        <v>0</v>
      </c>
      <c r="F17" s="10">
        <f>Tabla16[[#This Row],[ACUMULADO]]+Tabla16[[#This Row],[INGRESO]]-Tabla16[[#This Row],[EGRESO]]</f>
        <v>0</v>
      </c>
      <c r="G17" s="10"/>
      <c r="H17" s="10">
        <f>Tabla16[[#This Row],[SALDO]]-Tabla16[[#This Row],[DISPONIBLE]]</f>
        <v>0</v>
      </c>
      <c r="I17" s="2"/>
    </row>
    <row r="18" spans="2:9" x14ac:dyDescent="0.3">
      <c r="B18" s="1" t="str">
        <f>Tabla4[[#This Row],[BANCOS]]</f>
        <v>PROV KAR</v>
      </c>
      <c r="C18" s="27"/>
      <c r="D18" s="10">
        <f>SUMIF(BOLIVARES[RECEPTOR],Tabla4[[#This Row],[BANCOS]],BOLIVARES[BOLIVARES1])</f>
        <v>0</v>
      </c>
      <c r="E18" s="10">
        <f>SUMIF(BOLIVARES[EMISOR],Tabla4[[#This Row],[BANCOS]],BOLIVARES[BOLIVARES1])+
SUMIF(BOLIVARES[EMISOR],Tabla4[[#This Row],[BANCOS]],BOLIVARES[COMISION])</f>
        <v>0</v>
      </c>
      <c r="F18" s="10">
        <f>Tabla16[[#This Row],[ACUMULADO]]+Tabla16[[#This Row],[INGRESO]]-Tabla16[[#This Row],[EGRESO]]</f>
        <v>0</v>
      </c>
      <c r="G18" s="10"/>
      <c r="H18" s="10">
        <f>Tabla16[[#This Row],[SALDO]]-Tabla16[[#This Row],[DISPONIBLE]]</f>
        <v>0</v>
      </c>
      <c r="I18" s="2"/>
    </row>
    <row r="19" spans="2:9" x14ac:dyDescent="0.3">
      <c r="B19" s="1" t="str">
        <f>Tabla4[[#This Row],[BANCOS]]</f>
        <v>PROV SAR</v>
      </c>
      <c r="C19" s="27">
        <v>202327.6</v>
      </c>
      <c r="D19" s="10">
        <f>SUMIF(BOLIVARES[RECEPTOR],Tabla4[[#This Row],[BANCOS]],BOLIVARES[BOLIVARES1])</f>
        <v>0</v>
      </c>
      <c r="E19" s="10">
        <f>SUMIF(BOLIVARES[EMISOR],Tabla4[[#This Row],[BANCOS]],BOLIVARES[BOLIVARES1])+
SUMIF(BOLIVARES[EMISOR],Tabla4[[#This Row],[BANCOS]],BOLIVARES[COMISION])</f>
        <v>0</v>
      </c>
      <c r="F19" s="10">
        <f>Tabla16[[#This Row],[ACUMULADO]]+Tabla16[[#This Row],[INGRESO]]-Tabla16[[#This Row],[EGRESO]]</f>
        <v>202327.6</v>
      </c>
      <c r="G19" s="10"/>
      <c r="H19" s="10">
        <f>Tabla16[[#This Row],[SALDO]]-Tabla16[[#This Row],[DISPONIBLE]]</f>
        <v>202327.6</v>
      </c>
      <c r="I19" s="2"/>
    </row>
    <row r="20" spans="2:9" x14ac:dyDescent="0.3">
      <c r="B20" s="1" t="str">
        <f>Tabla4[[#This Row],[BANCOS]]</f>
        <v>VZLA ALE</v>
      </c>
      <c r="C20" s="27">
        <v>59475</v>
      </c>
      <c r="D20" s="10">
        <f>SUMIF(BOLIVARES[RECEPTOR],Tabla4[[#This Row],[BANCOS]],BOLIVARES[BOLIVARES1])</f>
        <v>0</v>
      </c>
      <c r="E20" s="10">
        <f>SUMIF(BOLIVARES[EMISOR],Tabla4[[#This Row],[BANCOS]],BOLIVARES[BOLIVARES1])+
SUMIF(BOLIVARES[EMISOR],Tabla4[[#This Row],[BANCOS]],BOLIVARES[COMISION])</f>
        <v>0</v>
      </c>
      <c r="F20" s="10">
        <f>Tabla16[[#This Row],[ACUMULADO]]+Tabla16[[#This Row],[INGRESO]]-Tabla16[[#This Row],[EGRESO]]</f>
        <v>59475</v>
      </c>
      <c r="G20" s="10"/>
      <c r="H20" s="10">
        <f>Tabla16[[#This Row],[SALDO]]-Tabla16[[#This Row],[DISPONIBLE]]</f>
        <v>59475</v>
      </c>
      <c r="I20" s="2"/>
    </row>
    <row r="21" spans="2:9" x14ac:dyDescent="0.3">
      <c r="B21" s="1" t="str">
        <f>Tabla4[[#This Row],[BANCOS]]</f>
        <v>VZLA ANA K</v>
      </c>
      <c r="C21" s="27"/>
      <c r="D21" s="10">
        <f>SUMIF(BOLIVARES[RECEPTOR],Tabla4[[#This Row],[BANCOS]],BOLIVARES[BOLIVARES1])</f>
        <v>0</v>
      </c>
      <c r="E21" s="10">
        <f>SUMIF(BOLIVARES[EMISOR],Tabla4[[#This Row],[BANCOS]],BOLIVARES[BOLIVARES1])+
SUMIF(BOLIVARES[EMISOR],Tabla4[[#This Row],[BANCOS]],BOLIVARES[COMISION])</f>
        <v>0</v>
      </c>
      <c r="F21" s="10">
        <f>Tabla16[[#This Row],[ACUMULADO]]+Tabla16[[#This Row],[INGRESO]]-Tabla16[[#This Row],[EGRESO]]</f>
        <v>0</v>
      </c>
      <c r="G21" s="10"/>
      <c r="H21" s="10">
        <f>Tabla16[[#This Row],[SALDO]]-Tabla16[[#This Row],[DISPONIBLE]]</f>
        <v>0</v>
      </c>
      <c r="I21" s="2"/>
    </row>
    <row r="22" spans="2:9" x14ac:dyDescent="0.3">
      <c r="B22" s="1" t="str">
        <f>Tabla4[[#This Row],[BANCOS]]</f>
        <v>VZLA EVE</v>
      </c>
      <c r="C22" s="27">
        <v>562.25</v>
      </c>
      <c r="D22" s="10">
        <f>SUMIF(BOLIVARES[RECEPTOR],Tabla4[[#This Row],[BANCOS]],BOLIVARES[BOLIVARES1])</f>
        <v>0</v>
      </c>
      <c r="E22" s="10">
        <f>SUMIF(BOLIVARES[EMISOR],Tabla4[[#This Row],[BANCOS]],BOLIVARES[BOLIVARES1])+
SUMIF(BOLIVARES[EMISOR],Tabla4[[#This Row],[BANCOS]],BOLIVARES[COMISION])</f>
        <v>0</v>
      </c>
      <c r="F22" s="10">
        <f>Tabla16[[#This Row],[ACUMULADO]]+Tabla16[[#This Row],[INGRESO]]-Tabla16[[#This Row],[EGRESO]]</f>
        <v>562.25</v>
      </c>
      <c r="G22" s="10"/>
      <c r="H22" s="10">
        <f>Tabla16[[#This Row],[SALDO]]-Tabla16[[#This Row],[DISPONIBLE]]</f>
        <v>562.25</v>
      </c>
      <c r="I22" s="2"/>
    </row>
    <row r="23" spans="2:9" x14ac:dyDescent="0.3">
      <c r="B23" s="1" t="str">
        <f>Tabla4[[#This Row],[BANCOS]]</f>
        <v>VZLA JHAS</v>
      </c>
      <c r="C23" s="27"/>
      <c r="D23" s="10">
        <f>SUMIF(BOLIVARES[RECEPTOR],Tabla4[[#This Row],[BANCOS]],BOLIVARES[BOLIVARES1])</f>
        <v>0</v>
      </c>
      <c r="E23" s="10">
        <f>SUMIF(BOLIVARES[EMISOR],Tabla4[[#This Row],[BANCOS]],BOLIVARES[BOLIVARES1])+
SUMIF(BOLIVARES[EMISOR],Tabla4[[#This Row],[BANCOS]],BOLIVARES[COMISION])</f>
        <v>0</v>
      </c>
      <c r="F23" s="10">
        <f>Tabla16[[#This Row],[ACUMULADO]]+Tabla16[[#This Row],[INGRESO]]-Tabla16[[#This Row],[EGRESO]]</f>
        <v>0</v>
      </c>
      <c r="G23" s="10"/>
      <c r="H23" s="10">
        <f>Tabla16[[#This Row],[SALDO]]-Tabla16[[#This Row],[DISPONIBLE]]</f>
        <v>0</v>
      </c>
      <c r="I23" s="2"/>
    </row>
    <row r="24" spans="2:9" x14ac:dyDescent="0.3">
      <c r="B24" s="1" t="str">
        <f>Tabla4[[#This Row],[BANCOS]]</f>
        <v>VZLA JOHA</v>
      </c>
      <c r="C24" s="27">
        <v>1806032.88</v>
      </c>
      <c r="D24" s="10">
        <f>SUMIF(BOLIVARES[RECEPTOR],Tabla4[[#This Row],[BANCOS]],BOLIVARES[BOLIVARES1])</f>
        <v>0</v>
      </c>
      <c r="E24" s="10">
        <f>SUMIF(BOLIVARES[EMISOR],Tabla4[[#This Row],[BANCOS]],BOLIVARES[BOLIVARES1])+
SUMIF(BOLIVARES[EMISOR],Tabla4[[#This Row],[BANCOS]],BOLIVARES[COMISION])</f>
        <v>50700</v>
      </c>
      <c r="F24" s="40">
        <f>Tabla16[[#This Row],[ACUMULADO]]+Tabla16[[#This Row],[INGRESO]]-Tabla16[[#This Row],[EGRESO]]</f>
        <v>1755332.88</v>
      </c>
      <c r="G24" s="48">
        <v>1755332.88</v>
      </c>
      <c r="H24" s="40">
        <f>Tabla16[[#This Row],[SALDO]]-Tabla16[[#This Row],[DISPONIBLE]]</f>
        <v>0</v>
      </c>
      <c r="I24" s="2"/>
    </row>
    <row r="25" spans="2:9" x14ac:dyDescent="0.3">
      <c r="B25" s="1" t="str">
        <f>Tabla4[[#This Row],[BANCOS]]</f>
        <v>VZLA KAR</v>
      </c>
      <c r="C25" s="27">
        <v>11888.11</v>
      </c>
      <c r="D25" s="10">
        <f>SUMIF(BOLIVARES[RECEPTOR],Tabla4[[#This Row],[BANCOS]],BOLIVARES[BOLIVARES1])</f>
        <v>0</v>
      </c>
      <c r="E25" s="10">
        <f>SUMIF(BOLIVARES[EMISOR],Tabla4[[#This Row],[BANCOS]],BOLIVARES[BOLIVARES1])+
SUMIF(BOLIVARES[EMISOR],Tabla4[[#This Row],[BANCOS]],BOLIVARES[COMISION])</f>
        <v>0</v>
      </c>
      <c r="F25" s="10">
        <f>Tabla16[[#This Row],[ACUMULADO]]+Tabla16[[#This Row],[INGRESO]]-Tabla16[[#This Row],[EGRESO]]</f>
        <v>11888.11</v>
      </c>
      <c r="G25" s="10"/>
      <c r="H25" s="10">
        <f>Tabla16[[#This Row],[SALDO]]-Tabla16[[#This Row],[DISPONIBLE]]</f>
        <v>11888.11</v>
      </c>
      <c r="I25" s="2"/>
    </row>
    <row r="26" spans="2:9" x14ac:dyDescent="0.3">
      <c r="B26" s="1" t="str">
        <f>Tabla4[[#This Row],[BANCOS]]</f>
        <v>VZLA SAR</v>
      </c>
      <c r="C26" s="27"/>
      <c r="D26" s="10">
        <f>SUMIF(BOLIVARES[RECEPTOR],Tabla4[[#This Row],[BANCOS]],BOLIVARES[BOLIVARES1])</f>
        <v>0</v>
      </c>
      <c r="E26" s="10">
        <f>SUMIF(BOLIVARES[EMISOR],Tabla4[[#This Row],[BANCOS]],BOLIVARES[BOLIVARES1])+
SUMIF(BOLIVARES[EMISOR],Tabla4[[#This Row],[BANCOS]],BOLIVARES[COMISION])</f>
        <v>0</v>
      </c>
      <c r="F26" s="10">
        <f>Tabla16[[#This Row],[ACUMULADO]]+Tabla16[[#This Row],[INGRESO]]-Tabla16[[#This Row],[EGRESO]]</f>
        <v>0</v>
      </c>
      <c r="G26" s="10"/>
      <c r="H26" s="10">
        <f>Tabla16[[#This Row],[SALDO]]-Tabla16[[#This Row],[DISPONIBLE]]</f>
        <v>0</v>
      </c>
      <c r="I26" s="2"/>
    </row>
    <row r="27" spans="2:9" x14ac:dyDescent="0.3">
      <c r="B27" s="1" t="str">
        <f>Tabla4[[#This Row],[BANCOS]]</f>
        <v>VZLA BEL</v>
      </c>
      <c r="C27" s="5">
        <v>5054.1899999999996</v>
      </c>
      <c r="D27" s="10">
        <f>SUMIF(BOLIVARES[RECEPTOR],Tabla4[[#This Row],[BANCOS]],BOLIVARES[BOLIVARES1])</f>
        <v>0</v>
      </c>
      <c r="E27" s="10">
        <f>SUMIF(BOLIVARES[EMISOR],Tabla4[[#This Row],[BANCOS]],BOLIVARES[BOLIVARES1])+
SUMIF(BOLIVARES[EMISOR],Tabla4[[#This Row],[BANCOS]],BOLIVARES[COMISION])</f>
        <v>0</v>
      </c>
      <c r="F27" s="10">
        <f>Tabla16[[#This Row],[ACUMULADO]]+Tabla16[[#This Row],[INGRESO]]-Tabla16[[#This Row],[EGRESO]]</f>
        <v>5054.1899999999996</v>
      </c>
      <c r="G27" s="10"/>
      <c r="H27" s="10">
        <f>Tabla16[[#This Row],[SALDO]]-Tabla16[[#This Row],[DISPONIBLE]]</f>
        <v>5054.1899999999996</v>
      </c>
      <c r="I27" s="2"/>
    </row>
    <row r="28" spans="2:9" x14ac:dyDescent="0.3">
      <c r="B28" s="1" t="str">
        <f>Tabla4[[#This Row],[BANCOS]]</f>
        <v>BANCA KAR</v>
      </c>
      <c r="C28" s="27">
        <v>648261.16</v>
      </c>
      <c r="D28" s="10">
        <f>SUMIF(BOLIVARES[RECEPTOR],Tabla4[[#This Row],[BANCOS]],BOLIVARES[BOLIVARES1])</f>
        <v>0</v>
      </c>
      <c r="E28" s="10">
        <f>SUMIF(BOLIVARES[EMISOR],Tabla4[[#This Row],[BANCOS]],BOLIVARES[BOLIVARES1])+
SUMIF(BOLIVARES[EMISOR],Tabla4[[#This Row],[BANCOS]],BOLIVARES[COMISION])</f>
        <v>0</v>
      </c>
      <c r="F28" s="10">
        <f>Tabla16[[#This Row],[ACUMULADO]]+Tabla16[[#This Row],[INGRESO]]-Tabla16[[#This Row],[EGRESO]]</f>
        <v>648261.16</v>
      </c>
      <c r="G28" s="10"/>
      <c r="H28" s="10">
        <f>Tabla16[[#This Row],[SALDO]]-Tabla16[[#This Row],[DISPONIBLE]]</f>
        <v>648261.16</v>
      </c>
      <c r="I28" s="2"/>
    </row>
    <row r="29" spans="2:9" x14ac:dyDescent="0.3">
      <c r="B29" s="1" t="str">
        <f>Tabla4[[#This Row],[BANCOS]]</f>
        <v>BANCA EVE</v>
      </c>
      <c r="C29" s="27">
        <v>370415.76</v>
      </c>
      <c r="D29" s="10">
        <f>SUMIF(BOLIVARES[RECEPTOR],Tabla4[[#This Row],[BANCOS]],BOLIVARES[BOLIVARES1])</f>
        <v>0</v>
      </c>
      <c r="E29" s="10">
        <f>SUMIF(BOLIVARES[EMISOR],Tabla4[[#This Row],[BANCOS]],BOLIVARES[BOLIVARES1])+
SUMIF(BOLIVARES[EMISOR],Tabla4[[#This Row],[BANCOS]],BOLIVARES[COMISION])</f>
        <v>0</v>
      </c>
      <c r="F29" s="10">
        <f>Tabla16[[#This Row],[ACUMULADO]]+Tabla16[[#This Row],[INGRESO]]-Tabla16[[#This Row],[EGRESO]]</f>
        <v>370415.76</v>
      </c>
      <c r="G29" s="10"/>
      <c r="H29" s="10">
        <f>Tabla16[[#This Row],[SALDO]]-Tabla16[[#This Row],[DISPONIBLE]]</f>
        <v>370415.76</v>
      </c>
      <c r="I29" s="2"/>
    </row>
    <row r="30" spans="2:9" x14ac:dyDescent="0.3">
      <c r="B30" s="1" t="str">
        <f>Tabla4[[#This Row],[BANCOS]]</f>
        <v>BANCA MANUEL</v>
      </c>
      <c r="C30" s="27">
        <v>265000</v>
      </c>
      <c r="D30" s="10">
        <f>SUMIF(BOLIVARES[RECEPTOR],Tabla4[[#This Row],[BANCOS]],BOLIVARES[BOLIVARES1])</f>
        <v>0</v>
      </c>
      <c r="E30" s="10">
        <f>SUMIF(BOLIVARES[EMISOR],Tabla4[[#This Row],[BANCOS]],BOLIVARES[BOLIVARES1])+
SUMIF(BOLIVARES[EMISOR],Tabla4[[#This Row],[BANCOS]],BOLIVARES[COMISION])</f>
        <v>0</v>
      </c>
      <c r="F30" s="10">
        <f>Tabla16[[#This Row],[ACUMULADO]]+Tabla16[[#This Row],[INGRESO]]-Tabla16[[#This Row],[EGRESO]]</f>
        <v>265000</v>
      </c>
      <c r="G30" s="10"/>
      <c r="H30" s="10">
        <f>Tabla16[[#This Row],[SALDO]]-Tabla16[[#This Row],[DISPONIBLE]]</f>
        <v>265000</v>
      </c>
      <c r="I30" s="2"/>
    </row>
    <row r="31" spans="2:9" x14ac:dyDescent="0.3">
      <c r="B31" s="1" t="str">
        <f>Tabla4[[#This Row],[BANCOS]]</f>
        <v>BANCARIBE EVE</v>
      </c>
      <c r="C31" s="27">
        <v>421.56</v>
      </c>
      <c r="D31" s="10">
        <f>SUMIF(BOLIVARES[RECEPTOR],Tabla4[[#This Row],[BANCOS]],BOLIVARES[BOLIVARES1])</f>
        <v>0</v>
      </c>
      <c r="E31" s="10">
        <f>SUMIF(BOLIVARES[EMISOR],Tabla4[[#This Row],[BANCOS]],BOLIVARES[BOLIVARES1])+
SUMIF(BOLIVARES[EMISOR],Tabla4[[#This Row],[BANCOS]],BOLIVARES[COMISION])</f>
        <v>0</v>
      </c>
      <c r="F31" s="10">
        <f>Tabla16[[#This Row],[ACUMULADO]]+Tabla16[[#This Row],[INGRESO]]-Tabla16[[#This Row],[EGRESO]]</f>
        <v>421.56</v>
      </c>
      <c r="G31" s="10"/>
      <c r="H31" s="10">
        <f>Tabla16[[#This Row],[SALDO]]-Tabla16[[#This Row],[DISPONIBLE]]</f>
        <v>421.56</v>
      </c>
      <c r="I31" s="2"/>
    </row>
    <row r="32" spans="2:9" x14ac:dyDescent="0.3">
      <c r="B32" s="1"/>
      <c r="C32" s="2">
        <f>SUM(Tabla16[ACUMULADO])</f>
        <v>5271610.6099999994</v>
      </c>
      <c r="D32" s="2">
        <f>SUM(Tabla16[INGRESO])</f>
        <v>100000</v>
      </c>
      <c r="E32" s="2">
        <f>SUM(Tabla16[EGRESO])</f>
        <v>130700</v>
      </c>
      <c r="F32" s="2">
        <f>SUM(Tabla16[SALDO])</f>
        <v>5240910.6099999994</v>
      </c>
      <c r="G32" s="2" t="s">
        <v>207</v>
      </c>
      <c r="H32" s="2"/>
      <c r="I32" s="1"/>
    </row>
    <row r="33" spans="2:9" x14ac:dyDescent="0.3">
      <c r="B33" s="1"/>
      <c r="C33" s="27"/>
      <c r="D33" s="10"/>
      <c r="E33" s="10"/>
      <c r="F33" s="10"/>
      <c r="G33" s="10"/>
      <c r="H33" s="10"/>
      <c r="I33" s="2"/>
    </row>
    <row r="34" spans="2:9" x14ac:dyDescent="0.3">
      <c r="B34" s="1"/>
      <c r="C34" s="27"/>
      <c r="D34" s="10"/>
      <c r="E34" s="10"/>
      <c r="F34" s="10"/>
      <c r="G34" s="10"/>
      <c r="H34" s="10"/>
      <c r="I34" s="2"/>
    </row>
    <row r="35" spans="2:9" x14ac:dyDescent="0.3">
      <c r="B35" s="1"/>
      <c r="C35" s="10"/>
      <c r="D35" s="10"/>
      <c r="E35" s="10"/>
      <c r="F35" s="10"/>
      <c r="G35" s="10"/>
      <c r="H35" s="10"/>
      <c r="I35" s="2"/>
    </row>
    <row r="36" spans="2:9" x14ac:dyDescent="0.3">
      <c r="B36" s="1"/>
      <c r="C36" s="10"/>
      <c r="D36" s="10"/>
      <c r="E36" s="10"/>
      <c r="F36" s="10"/>
      <c r="G36" s="10"/>
      <c r="H36" s="10"/>
      <c r="I36" s="2"/>
    </row>
    <row r="37" spans="2:9" x14ac:dyDescent="0.3">
      <c r="B37" s="1"/>
      <c r="C37" s="10"/>
      <c r="D37" s="10"/>
      <c r="E37" s="10"/>
      <c r="F37" s="10"/>
      <c r="G37" s="10"/>
      <c r="H37" s="10"/>
      <c r="I37" s="2"/>
    </row>
    <row r="38" spans="2:9" x14ac:dyDescent="0.3">
      <c r="B38" s="1"/>
      <c r="C38" s="10"/>
      <c r="D38" s="10"/>
      <c r="E38" s="10"/>
      <c r="F38" s="10"/>
      <c r="G38" s="27"/>
      <c r="H38" s="10"/>
      <c r="I38" s="2"/>
    </row>
    <row r="39" spans="2:9" x14ac:dyDescent="0.3">
      <c r="B39" s="1"/>
      <c r="C39" s="10"/>
      <c r="D39" s="10"/>
      <c r="E39" s="10"/>
      <c r="F39" s="10"/>
      <c r="G39" s="27"/>
      <c r="H39" s="10"/>
      <c r="I39" s="2"/>
    </row>
    <row r="40" spans="2:9" x14ac:dyDescent="0.3">
      <c r="B40" s="1"/>
      <c r="C40" s="10"/>
      <c r="D40" s="10"/>
      <c r="E40" s="10"/>
      <c r="F40" s="10"/>
      <c r="G40" s="10"/>
      <c r="H40" s="10"/>
      <c r="I40" s="2"/>
    </row>
    <row r="41" spans="2:9" x14ac:dyDescent="0.3">
      <c r="B41" s="1"/>
      <c r="C41" s="10"/>
      <c r="D41" s="10"/>
      <c r="E41" s="10"/>
      <c r="F41" s="10"/>
      <c r="G41" s="10"/>
      <c r="H41" s="10"/>
      <c r="I41" s="2"/>
    </row>
    <row r="42" spans="2:9" x14ac:dyDescent="0.3">
      <c r="B42" s="1"/>
      <c r="C42" s="10"/>
      <c r="D42" s="10"/>
      <c r="E42" s="10"/>
      <c r="F42" s="10"/>
      <c r="G42" s="10"/>
      <c r="H42" s="10"/>
      <c r="I42" s="2"/>
    </row>
    <row r="43" spans="2:9" x14ac:dyDescent="0.3">
      <c r="B43" s="1"/>
      <c r="C43" s="5"/>
      <c r="D43" s="10"/>
      <c r="E43" s="10"/>
      <c r="F43" s="10"/>
      <c r="G43" s="10"/>
      <c r="H43" s="10"/>
      <c r="I43" s="2"/>
    </row>
    <row r="44" spans="2:9" x14ac:dyDescent="0.3">
      <c r="B44" s="1"/>
      <c r="C44" s="5"/>
      <c r="D44" s="10"/>
      <c r="E44" s="10"/>
      <c r="F44" s="10"/>
      <c r="G44" s="10"/>
      <c r="H44" s="5"/>
      <c r="I44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B0B0C-A9A8-344F-9FBC-A10425E2D866}">
  <dimension ref="B2:K35"/>
  <sheetViews>
    <sheetView zoomScale="82" zoomScaleNormal="82" workbookViewId="0">
      <selection activeCell="E1" sqref="E1"/>
    </sheetView>
  </sheetViews>
  <sheetFormatPr baseColWidth="10" defaultColWidth="11" defaultRowHeight="18" x14ac:dyDescent="0.3"/>
  <cols>
    <col min="2" max="2" width="24.19921875" style="7" customWidth="1"/>
    <col min="3" max="5" width="20.69921875" style="8" customWidth="1"/>
    <col min="6" max="6" width="20.69921875" style="7" customWidth="1"/>
    <col min="7" max="7" width="17.19921875" style="8" customWidth="1"/>
    <col min="8" max="8" width="20.69921875" style="7" customWidth="1"/>
  </cols>
  <sheetData>
    <row r="2" spans="2:11" x14ac:dyDescent="0.3">
      <c r="B2" s="7" t="s">
        <v>17</v>
      </c>
      <c r="C2" s="8" t="s">
        <v>46</v>
      </c>
      <c r="D2" s="8" t="s">
        <v>56</v>
      </c>
      <c r="E2" s="8" t="s">
        <v>57</v>
      </c>
      <c r="F2" s="7" t="s">
        <v>47</v>
      </c>
      <c r="G2" s="8" t="s">
        <v>54</v>
      </c>
      <c r="H2" s="7" t="s">
        <v>55</v>
      </c>
    </row>
    <row r="3" spans="2:11" ht="19.95" customHeight="1" x14ac:dyDescent="0.3">
      <c r="B3" s="7" t="str">
        <f>Tabla10[[#This Row],[PLATAFORMAS]]</f>
        <v>CASH SARAH</v>
      </c>
      <c r="C3" s="16"/>
      <c r="D3" s="16">
        <f>SUMIF(Tabla12[RECEPTOR],Tabla10[[#This Row],[PLATAFORMAS]],Tabla12[MONTO2])</f>
        <v>0</v>
      </c>
      <c r="E3" s="16">
        <f>SUMIF(Tabla12[EMISOR2],Tabla10[[#This Row],[PLATAFORMAS]],Tabla12[MONTO])</f>
        <v>0</v>
      </c>
      <c r="F3" s="9"/>
      <c r="G3" s="16"/>
      <c r="H3" s="9">
        <f>Tabla17[[#This Row],[SALDO]]-Tabla17[[#This Row],[DISPONIBLE]]</f>
        <v>0</v>
      </c>
      <c r="K3" s="13"/>
    </row>
    <row r="4" spans="2:11" ht="19.95" customHeight="1" x14ac:dyDescent="0.3">
      <c r="B4" s="7" t="str">
        <f>Tabla10[[#This Row],[PLATAFORMAS]]</f>
        <v>CASH TINTORERIA</v>
      </c>
      <c r="C4" s="16"/>
      <c r="D4" s="16">
        <f>SUMIF(Tabla12[RECEPTOR],Tabla10[[#This Row],[PLATAFORMAS]],Tabla12[MONTO2])</f>
        <v>0</v>
      </c>
      <c r="E4" s="16">
        <f>SUMIF(Tabla12[EMISOR2],Tabla10[[#This Row],[PLATAFORMAS]],Tabla12[MONTO])</f>
        <v>0</v>
      </c>
      <c r="F4" s="9"/>
      <c r="G4" s="16"/>
      <c r="H4" s="9">
        <f>Tabla17[[#This Row],[SALDO]]-Tabla17[[#This Row],[DISPONIBLE]]</f>
        <v>0</v>
      </c>
    </row>
    <row r="5" spans="2:11" ht="19.95" customHeight="1" x14ac:dyDescent="0.3">
      <c r="B5" s="7" t="str">
        <f>Tabla10[[#This Row],[PLATAFORMAS]]</f>
        <v>CASH YENSY</v>
      </c>
      <c r="C5" s="16"/>
      <c r="D5" s="16">
        <f>SUMIF(Tabla12[RECEPTOR],Tabla10[[#This Row],[PLATAFORMAS]],Tabla12[MONTO2])</f>
        <v>0</v>
      </c>
      <c r="E5" s="16">
        <f>SUMIF(Tabla12[EMISOR2],Tabla10[[#This Row],[PLATAFORMAS]],Tabla12[MONTO])</f>
        <v>0</v>
      </c>
      <c r="F5" s="9"/>
      <c r="G5" s="16"/>
      <c r="H5" s="9">
        <f>Tabla17[[#This Row],[SALDO]]-Tabla17[[#This Row],[DISPONIBLE]]</f>
        <v>0</v>
      </c>
    </row>
    <row r="6" spans="2:11" ht="19.95" customHeight="1" x14ac:dyDescent="0.3">
      <c r="B6" s="7" t="str">
        <f>Tabla10[[#This Row],[PLATAFORMAS]]</f>
        <v>CASH GUILLERMO</v>
      </c>
      <c r="C6" s="16"/>
      <c r="D6" s="16">
        <f>SUMIF(Tabla12[RECEPTOR],Tabla10[[#This Row],[PLATAFORMAS]],Tabla12[MONTO2])</f>
        <v>0</v>
      </c>
      <c r="E6" s="16">
        <f>SUMIF(Tabla12[EMISOR2],Tabla10[[#This Row],[PLATAFORMAS]],Tabla12[MONTO])</f>
        <v>0</v>
      </c>
      <c r="F6" s="9"/>
      <c r="G6" s="16"/>
      <c r="H6" s="9">
        <f>Tabla17[[#This Row],[SALDO]]-Tabla17[[#This Row],[DISPONIBLE]]</f>
        <v>0</v>
      </c>
    </row>
    <row r="7" spans="2:11" ht="19.95" customHeight="1" x14ac:dyDescent="0.3">
      <c r="B7" s="7" t="str">
        <f>Tabla10[[#This Row],[PLATAFORMAS]]</f>
        <v>ZELLE ITSIA</v>
      </c>
      <c r="C7" s="16"/>
      <c r="D7" s="16">
        <f>SUMIF(Tabla12[RECEPTOR],Tabla10[[#This Row],[PLATAFORMAS]],Tabla12[MONTO2])</f>
        <v>0</v>
      </c>
      <c r="E7" s="16">
        <f>SUMIF(Tabla12[EMISOR2],Tabla10[[#This Row],[PLATAFORMAS]],Tabla12[MONTO])</f>
        <v>0</v>
      </c>
      <c r="F7" s="9"/>
      <c r="G7" s="16"/>
      <c r="H7" s="9">
        <f>Tabla17[[#This Row],[SALDO]]-Tabla17[[#This Row],[DISPONIBLE]]</f>
        <v>0</v>
      </c>
    </row>
    <row r="8" spans="2:11" ht="19.95" customHeight="1" x14ac:dyDescent="0.3">
      <c r="B8" s="7" t="str">
        <f>Tabla10[[#This Row],[PLATAFORMAS]]</f>
        <v>EUROS CASH SARAH</v>
      </c>
      <c r="C8" s="16"/>
      <c r="D8" s="16">
        <f>SUMIF(Tabla12[RECEPTOR],Tabla10[[#This Row],[PLATAFORMAS]],Tabla12[MONTO2])</f>
        <v>0</v>
      </c>
      <c r="E8" s="16">
        <f>SUMIF(Tabla12[EMISOR2],Tabla10[[#This Row],[PLATAFORMAS]],Tabla12[MONTO])</f>
        <v>0</v>
      </c>
      <c r="F8" s="9"/>
      <c r="G8" s="16"/>
      <c r="H8" s="9">
        <f>Tabla17[[#This Row],[SALDO]]-Tabla17[[#This Row],[DISPONIBLE]]</f>
        <v>0</v>
      </c>
      <c r="K8" s="13"/>
    </row>
    <row r="9" spans="2:11" ht="19.95" customHeight="1" x14ac:dyDescent="0.3">
      <c r="B9" s="7" t="str">
        <f>Tabla10[[#This Row],[PLATAFORMAS]]</f>
        <v>BNB SARAH</v>
      </c>
      <c r="C9" s="16"/>
      <c r="D9" s="16">
        <f>SUMIF(Tabla12[RECEPTOR],Tabla10[[#This Row],[PLATAFORMAS]],Tabla12[MONTO2])</f>
        <v>0</v>
      </c>
      <c r="E9" s="16">
        <f>SUMIF(Tabla12[EMISOR2],Tabla10[[#This Row],[PLATAFORMAS]],Tabla12[MONTO])</f>
        <v>0</v>
      </c>
      <c r="F9" s="9"/>
      <c r="G9" s="16"/>
      <c r="H9" s="9">
        <f>Tabla17[[#This Row],[SALDO]]-Tabla17[[#This Row],[DISPONIBLE]]</f>
        <v>0</v>
      </c>
    </row>
    <row r="10" spans="2:11" ht="19.95" customHeight="1" x14ac:dyDescent="0.3">
      <c r="B10" s="7" t="str">
        <f>Tabla10[[#This Row],[PLATAFORMAS]]</f>
        <v>BANPA KAROL</v>
      </c>
      <c r="C10" s="16"/>
      <c r="D10" s="16">
        <f>SUMIF(Tabla12[RECEPTOR],Tabla10[[#This Row],[PLATAFORMAS]],Tabla12[MONTO2])</f>
        <v>0</v>
      </c>
      <c r="E10" s="16">
        <f>SUMIF(Tabla12[EMISOR2],Tabla10[[#This Row],[PLATAFORMAS]],Tabla12[MONTO])</f>
        <v>0</v>
      </c>
      <c r="F10" s="9"/>
      <c r="G10" s="16"/>
      <c r="H10" s="9">
        <f>Tabla17[[#This Row],[SALDO]]-Tabla17[[#This Row],[DISPONIBLE]]</f>
        <v>0</v>
      </c>
      <c r="K10" s="13"/>
    </row>
    <row r="11" spans="2:11" ht="19.95" customHeight="1" x14ac:dyDescent="0.3">
      <c r="B11" s="7" t="str">
        <f>Tabla10[[#This Row],[PLATAFORMAS]]</f>
        <v>MERCAPY KAROL</v>
      </c>
      <c r="C11" s="16"/>
      <c r="D11" s="16">
        <f>SUMIF(Tabla12[RECEPTOR],Tabla10[[#This Row],[PLATAFORMAS]],Tabla12[MONTO2])</f>
        <v>0</v>
      </c>
      <c r="E11" s="16">
        <f>SUMIF(Tabla12[EMISOR2],Tabla10[[#This Row],[PLATAFORMAS]],Tabla12[MONTO])</f>
        <v>0</v>
      </c>
      <c r="F11" s="9"/>
      <c r="G11" s="16"/>
      <c r="H11" s="9">
        <f>Tabla17[[#This Row],[SALDO]]-Tabla17[[#This Row],[DISPONIBLE]]</f>
        <v>0</v>
      </c>
    </row>
    <row r="12" spans="2:11" ht="19.95" customHeight="1" x14ac:dyDescent="0.3">
      <c r="B12" s="7" t="str">
        <f>Tabla10[[#This Row],[PLATAFORMAS]]</f>
        <v xml:space="preserve">BNB KAROL </v>
      </c>
      <c r="C12" s="16"/>
      <c r="D12" s="16">
        <f>SUMIF(Tabla12[RECEPTOR],Tabla10[[#This Row],[PLATAFORMAS]],Tabla12[MONTO2])</f>
        <v>0</v>
      </c>
      <c r="E12" s="16">
        <f>SUMIF(Tabla12[EMISOR2],Tabla10[[#This Row],[PLATAFORMAS]],Tabla12[MONTO])</f>
        <v>0</v>
      </c>
      <c r="F12" s="9"/>
      <c r="G12" s="16"/>
      <c r="H12" s="9">
        <f>Tabla17[[#This Row],[SALDO]]-Tabla17[[#This Row],[DISPONIBLE]]</f>
        <v>0</v>
      </c>
      <c r="J12" s="13"/>
    </row>
    <row r="13" spans="2:11" ht="19.95" customHeight="1" x14ac:dyDescent="0.3">
      <c r="B13" s="7" t="str">
        <f>Tabla10[[#This Row],[PLATAFORMAS]]</f>
        <v>ZINLI KAROL</v>
      </c>
      <c r="C13" s="16"/>
      <c r="D13" s="16">
        <f>SUMIF(Tabla12[RECEPTOR],Tabla10[[#This Row],[PLATAFORMAS]],Tabla12[MONTO2])</f>
        <v>0</v>
      </c>
      <c r="E13" s="16">
        <f>SUMIF(Tabla12[EMISOR2],Tabla10[[#This Row],[PLATAFORMAS]],Tabla12[MONTO])</f>
        <v>0</v>
      </c>
      <c r="F13" s="9"/>
      <c r="G13" s="16"/>
      <c r="H13" s="9">
        <f>Tabla17[[#This Row],[SALDO]]-Tabla17[[#This Row],[DISPONIBLE]]</f>
        <v>0</v>
      </c>
    </row>
    <row r="14" spans="2:11" ht="19.95" customHeight="1" x14ac:dyDescent="0.3">
      <c r="B14" s="7" t="str">
        <f>Tabla10[[#This Row],[PLATAFORMAS]]</f>
        <v xml:space="preserve">BANPA EVE </v>
      </c>
      <c r="C14" s="16"/>
      <c r="D14" s="16">
        <f>SUMIF(Tabla12[RECEPTOR],Tabla10[[#This Row],[PLATAFORMAS]],Tabla12[MONTO2])</f>
        <v>0</v>
      </c>
      <c r="E14" s="16">
        <f>SUMIF(Tabla12[EMISOR2],Tabla10[[#This Row],[PLATAFORMAS]],Tabla12[MONTO])</f>
        <v>0</v>
      </c>
      <c r="F14" s="9"/>
      <c r="G14" s="16"/>
      <c r="H14" s="9">
        <f>Tabla17[[#This Row],[SALDO]]-Tabla17[[#This Row],[DISPONIBLE]]</f>
        <v>0</v>
      </c>
    </row>
    <row r="15" spans="2:11" ht="19.95" customHeight="1" x14ac:dyDescent="0.3">
      <c r="B15" s="7" t="str">
        <f>Tabla10[[#This Row],[PLATAFORMAS]]</f>
        <v>MERCAPY EVE</v>
      </c>
      <c r="C15" s="16"/>
      <c r="D15" s="16">
        <f>SUMIF(Tabla12[RECEPTOR],Tabla10[[#This Row],[PLATAFORMAS]],Tabla12[MONTO2])</f>
        <v>0</v>
      </c>
      <c r="E15" s="16">
        <f>SUMIF(Tabla12[EMISOR2],Tabla10[[#This Row],[PLATAFORMAS]],Tabla12[MONTO])</f>
        <v>0</v>
      </c>
      <c r="F15" s="9"/>
      <c r="G15" s="9"/>
      <c r="H15" s="9">
        <f>Tabla17[[#This Row],[SALDO]]-Tabla17[[#This Row],[DISPONIBLE]]</f>
        <v>0</v>
      </c>
      <c r="K15" s="13"/>
    </row>
    <row r="16" spans="2:11" ht="19.95" customHeight="1" x14ac:dyDescent="0.3">
      <c r="B16" s="7" t="str">
        <f>Tabla10[[#This Row],[PLATAFORMAS]]</f>
        <v>BNB EVE</v>
      </c>
      <c r="C16" s="16"/>
      <c r="D16" s="16">
        <f>SUMIF(Tabla12[RECEPTOR],Tabla10[[#This Row],[PLATAFORMAS]],Tabla12[MONTO2])</f>
        <v>0</v>
      </c>
      <c r="E16" s="16">
        <f>SUMIF(Tabla12[EMISOR2],Tabla10[[#This Row],[PLATAFORMAS]],Tabla12[MONTO])</f>
        <v>0</v>
      </c>
      <c r="F16" s="9"/>
      <c r="G16" s="9"/>
      <c r="H16" s="9">
        <f>Tabla17[[#This Row],[SALDO]]-Tabla17[[#This Row],[DISPONIBLE]]</f>
        <v>0</v>
      </c>
    </row>
    <row r="17" spans="2:8" ht="19.95" customHeight="1" x14ac:dyDescent="0.3">
      <c r="B17" s="7" t="str">
        <f>Tabla10[[#This Row],[PLATAFORMAS]]</f>
        <v>ZINLI EVE</v>
      </c>
      <c r="C17" s="16"/>
      <c r="D17" s="16">
        <f>SUMIF(Tabla12[RECEPTOR],Tabla10[[#This Row],[PLATAFORMAS]],Tabla12[MONTO2])</f>
        <v>0</v>
      </c>
      <c r="E17" s="16">
        <f>SUMIF(Tabla12[EMISOR2],Tabla10[[#This Row],[PLATAFORMAS]],Tabla12[MONTO])</f>
        <v>0</v>
      </c>
      <c r="F17" s="9"/>
      <c r="G17" s="9"/>
      <c r="H17" s="9">
        <f>Tabla17[[#This Row],[SALDO]]-Tabla17[[#This Row],[DISPONIBLE]]</f>
        <v>0</v>
      </c>
    </row>
    <row r="18" spans="2:8" ht="19.95" customHeight="1" x14ac:dyDescent="0.3">
      <c r="B18" s="7" t="str">
        <f>Tabla10[[#This Row],[PLATAFORMAS]]</f>
        <v>TRUST WALLET I</v>
      </c>
      <c r="C18" s="16"/>
      <c r="D18" s="16">
        <f>SUMIF(Tabla12[RECEPTOR],Tabla10[[#This Row],[PLATAFORMAS]],Tabla12[MONTO2])</f>
        <v>0</v>
      </c>
      <c r="E18" s="16">
        <f>SUMIF(Tabla12[EMISOR2],Tabla10[[#This Row],[PLATAFORMAS]],Tabla12[MONTO])</f>
        <v>0</v>
      </c>
      <c r="F18" s="9"/>
      <c r="G18" s="9"/>
      <c r="H18" s="9">
        <f>Tabla17[[#This Row],[SALDO]]-Tabla17[[#This Row],[DISPONIBLE]]</f>
        <v>0</v>
      </c>
    </row>
    <row r="19" spans="2:8" ht="19.95" customHeight="1" x14ac:dyDescent="0.3">
      <c r="B19" s="7" t="str">
        <f>Tabla10[[#This Row],[PLATAFORMAS]]</f>
        <v>TRUST WALLET II</v>
      </c>
      <c r="C19" s="16"/>
      <c r="D19" s="16">
        <f>SUMIF(Tabla12[RECEPTOR],Tabla10[[#This Row],[PLATAFORMAS]],Tabla12[MONTO2])</f>
        <v>0</v>
      </c>
      <c r="E19" s="16">
        <f>SUMIF(Tabla12[EMISOR2],Tabla10[[#This Row],[PLATAFORMAS]],Tabla12[MONTO])</f>
        <v>0</v>
      </c>
      <c r="F19" s="9"/>
      <c r="G19" s="9"/>
      <c r="H19" s="9">
        <f>Tabla17[[#This Row],[SALDO]]-Tabla17[[#This Row],[DISPONIBLE]]</f>
        <v>0</v>
      </c>
    </row>
    <row r="20" spans="2:8" ht="19.95" customHeight="1" x14ac:dyDescent="0.3">
      <c r="B20" s="7" t="str">
        <f>Tabla10[[#This Row],[PLATAFORMAS]]</f>
        <v>TRUST WALLET III</v>
      </c>
      <c r="C20" s="16"/>
      <c r="D20" s="16">
        <f>SUMIF(Tabla12[RECEPTOR],Tabla10[[#This Row],[PLATAFORMAS]],Tabla12[MONTO2])</f>
        <v>0</v>
      </c>
      <c r="E20" s="16">
        <f>SUMIF(Tabla12[EMISOR2],Tabla10[[#This Row],[PLATAFORMAS]],Tabla12[MONTO])</f>
        <v>0</v>
      </c>
      <c r="F20" s="9"/>
      <c r="G20" s="9"/>
      <c r="H20" s="9">
        <f>Tabla17[[#This Row],[SALDO]]-Tabla17[[#This Row],[DISPONIBLE]]</f>
        <v>0</v>
      </c>
    </row>
    <row r="21" spans="2:8" ht="19.95" customHeight="1" x14ac:dyDescent="0.3">
      <c r="B21" s="7" t="str">
        <f>Tabla10[[#This Row],[PLATAFORMAS]]</f>
        <v>TRUST WALLET IV</v>
      </c>
      <c r="C21" s="16"/>
      <c r="D21" s="16">
        <f>SUMIF(Tabla12[RECEPTOR],Tabla10[[#This Row],[PLATAFORMAS]],Tabla12[MONTO2])</f>
        <v>0</v>
      </c>
      <c r="E21" s="16">
        <f>SUMIF(Tabla12[EMISOR2],Tabla10[[#This Row],[PLATAFORMAS]],Tabla12[MONTO])</f>
        <v>0</v>
      </c>
      <c r="F21" s="9"/>
      <c r="G21" s="9"/>
      <c r="H21" s="9">
        <f>Tabla17[[#This Row],[SALDO]]-Tabla17[[#This Row],[DISPONIBLE]]</f>
        <v>0</v>
      </c>
    </row>
    <row r="22" spans="2:8" ht="19.95" customHeight="1" x14ac:dyDescent="0.3">
      <c r="B22" s="7" t="str">
        <f>Tabla10[[#This Row],[PLATAFORMAS]]</f>
        <v>TRUST WALLET ETH</v>
      </c>
      <c r="C22" s="16"/>
      <c r="D22" s="16">
        <f>SUMIF(Tabla12[RECEPTOR],Tabla10[[#This Row],[PLATAFORMAS]],Tabla12[MONTO2])</f>
        <v>0</v>
      </c>
      <c r="E22" s="16">
        <f>SUMIF(Tabla12[EMISOR2],Tabla10[[#This Row],[PLATAFORMAS]],Tabla12[MONTO])</f>
        <v>0</v>
      </c>
      <c r="F22" s="9"/>
      <c r="G22" s="9"/>
      <c r="H22" s="9">
        <f>Tabla17[[#This Row],[SALDO]]-Tabla17[[#This Row],[DISPONIBLE]]</f>
        <v>0</v>
      </c>
    </row>
    <row r="23" spans="2:8" x14ac:dyDescent="0.3">
      <c r="B23" s="7" t="str">
        <f>Tabla10[[#This Row],[PLATAFORMAS]]</f>
        <v>BANPA BELKIS</v>
      </c>
      <c r="C23" s="16"/>
      <c r="D23" s="16">
        <f>SUMIF(Tabla12[RECEPTOR],Tabla10[[#This Row],[PLATAFORMAS]],Tabla12[MONTO2])</f>
        <v>0</v>
      </c>
      <c r="E23" s="16">
        <f>SUMIF(Tabla12[EMISOR2],Tabla10[[#This Row],[PLATAFORMAS]],Tabla12[MONTO])</f>
        <v>0</v>
      </c>
      <c r="F23" s="9"/>
      <c r="G23" s="9"/>
      <c r="H23" s="9">
        <f>Tabla17[[#This Row],[SALDO]]-Tabla17[[#This Row],[DISPONIBLE]]</f>
        <v>0</v>
      </c>
    </row>
    <row r="24" spans="2:8" x14ac:dyDescent="0.3">
      <c r="B24" s="7" t="str">
        <f>Tabla10[[#This Row],[PLATAFORMAS]]</f>
        <v>CASH BELKIS</v>
      </c>
      <c r="C24" s="16"/>
      <c r="D24" s="16">
        <f>SUMIF(Tabla12[RECEPTOR],Tabla10[[#This Row],[PLATAFORMAS]],Tabla12[MONTO2])</f>
        <v>0</v>
      </c>
      <c r="E24" s="16">
        <f>SUMIF(Tabla12[EMISOR2],Tabla10[[#This Row],[PLATAFORMAS]],Tabla12[MONTO])</f>
        <v>1000</v>
      </c>
      <c r="F24" s="9"/>
      <c r="G24" s="16"/>
      <c r="H24" s="9">
        <f>Tabla17[[#This Row],[SALDO]]-Tabla17[[#This Row],[DISPONIBLE]]</f>
        <v>0</v>
      </c>
    </row>
    <row r="25" spans="2:8" ht="21.6" x14ac:dyDescent="0.3">
      <c r="B25" s="7" t="str">
        <f>Tabla10[[#This Row],[PLATAFORMAS]]</f>
        <v>EUR BELKIS</v>
      </c>
      <c r="C25" s="16"/>
      <c r="D25" s="16">
        <f>SUMIF(Tabla12[RECEPTOR],Tabla10[[#This Row],[PLATAFORMAS]],Tabla12[MONTO2])</f>
        <v>0</v>
      </c>
      <c r="E25" s="16">
        <f>SUMIF(Tabla12[EMISOR2],Tabla10[[#This Row],[PLATAFORMAS]],Tabla12[MONTO])</f>
        <v>0</v>
      </c>
      <c r="F25" s="9"/>
      <c r="G25" s="46"/>
      <c r="H25" s="9">
        <f>Tabla17[[#This Row],[SALDO]]-Tabla17[[#This Row],[DISPONIBLE]]</f>
        <v>0</v>
      </c>
    </row>
    <row r="26" spans="2:8" x14ac:dyDescent="0.3">
      <c r="B26" s="7" t="str">
        <f>Tabla10[[#This Row],[PLATAFORMAS]]</f>
        <v>BANPA JOHA</v>
      </c>
      <c r="C26" s="16"/>
      <c r="D26" s="16">
        <f>SUMIF(Tabla12[RECEPTOR],Tabla10[[#This Row],[PLATAFORMAS]],Tabla12[MONTO2])</f>
        <v>0</v>
      </c>
      <c r="E26" s="16">
        <f>SUMIF(Tabla12[EMISOR2],Tabla10[[#This Row],[PLATAFORMAS]],Tabla12[MONTO])</f>
        <v>0</v>
      </c>
      <c r="F26" s="9"/>
      <c r="G26" s="16"/>
      <c r="H26" s="9">
        <f>Tabla17[[#This Row],[SALDO]]-Tabla17[[#This Row],[DISPONIBLE]]</f>
        <v>0</v>
      </c>
    </row>
    <row r="27" spans="2:8" x14ac:dyDescent="0.3">
      <c r="B27" s="7" t="str">
        <f>Tabla10[[#This Row],[PLATAFORMAS]]</f>
        <v>BNB JOHA</v>
      </c>
      <c r="C27" s="16"/>
      <c r="D27" s="16">
        <f>SUMIF(Tabla12[RECEPTOR],Tabla10[[#This Row],[PLATAFORMAS]],Tabla12[MONTO2])</f>
        <v>0</v>
      </c>
      <c r="E27" s="16">
        <f>SUMIF(Tabla12[EMISOR2],Tabla10[[#This Row],[PLATAFORMAS]],Tabla12[MONTO])</f>
        <v>0</v>
      </c>
      <c r="F27" s="9"/>
      <c r="G27" s="16"/>
      <c r="H27" s="9">
        <f>Tabla17[[#This Row],[SALDO]]-Tabla17[[#This Row],[DISPONIBLE]]</f>
        <v>0</v>
      </c>
    </row>
    <row r="28" spans="2:8" x14ac:dyDescent="0.3">
      <c r="B28" s="7" t="str">
        <f>Tabla10[[#This Row],[PLATAFORMAS]]</f>
        <v>ZINLI JOHA</v>
      </c>
      <c r="C28" s="16"/>
      <c r="D28" s="16">
        <f>SUMIF(Tabla12[RECEPTOR],Tabla10[[#This Row],[PLATAFORMAS]],Tabla12[MONTO2])</f>
        <v>0</v>
      </c>
      <c r="E28" s="16">
        <f>SUMIF(Tabla12[EMISOR2],Tabla10[[#This Row],[PLATAFORMAS]],Tabla12[MONTO])</f>
        <v>0</v>
      </c>
      <c r="F28" s="9"/>
      <c r="G28" s="16"/>
      <c r="H28" s="9">
        <f>Tabla17[[#This Row],[SALDO]]-Tabla17[[#This Row],[DISPONIBLE]]</f>
        <v>0</v>
      </c>
    </row>
    <row r="29" spans="2:8" x14ac:dyDescent="0.3">
      <c r="B29" s="7" t="str">
        <f>Tabla10[[#This Row],[PLATAFORMAS]]</f>
        <v>TRUIST BANK</v>
      </c>
      <c r="C29" s="16"/>
      <c r="D29" s="16">
        <f>SUMIF(Tabla12[RECEPTOR],Tabla10[[#This Row],[PLATAFORMAS]],Tabla12[MONTO2])</f>
        <v>0</v>
      </c>
      <c r="E29" s="16">
        <f>SUMIF(Tabla12[EMISOR2],Tabla10[[#This Row],[PLATAFORMAS]],Tabla12[MONTO])</f>
        <v>0</v>
      </c>
      <c r="F29" s="9"/>
      <c r="G29" s="16"/>
      <c r="H29" s="9">
        <f>Tabla17[[#This Row],[SALDO]]-Tabla17[[#This Row],[DISPONIBLE]]</f>
        <v>0</v>
      </c>
    </row>
    <row r="30" spans="2:8" x14ac:dyDescent="0.3">
      <c r="B30" s="7" t="str">
        <f>Tabla10[[#This Row],[PLATAFORMAS]]</f>
        <v>BANCO 53</v>
      </c>
      <c r="C30" s="16"/>
      <c r="D30" s="16">
        <f>SUMIF(Tabla12[RECEPTOR],Tabla10[[#This Row],[PLATAFORMAS]],Tabla12[MONTO2])</f>
        <v>0</v>
      </c>
      <c r="E30" s="16">
        <f>SUMIF(Tabla12[EMISOR2],Tabla10[[#This Row],[PLATAFORMAS]],Tabla12[MONTO])</f>
        <v>0</v>
      </c>
      <c r="F30" s="9"/>
      <c r="G30" s="16"/>
      <c r="H30" s="9">
        <f>Tabla17[[#This Row],[SALDO]]-Tabla17[[#This Row],[DISPONIBLE]]</f>
        <v>0</v>
      </c>
    </row>
    <row r="31" spans="2:8" x14ac:dyDescent="0.3">
      <c r="B31" s="7" t="str">
        <f>Tabla10[[#This Row],[PLATAFORMAS]]</f>
        <v>BOFA IG</v>
      </c>
      <c r="C31" s="16"/>
      <c r="D31" s="16">
        <f>SUMIF(Tabla12[RECEPTOR],Tabla10[[#This Row],[PLATAFORMAS]],Tabla12[MONTO2])</f>
        <v>0</v>
      </c>
      <c r="E31" s="16">
        <f>SUMIF(Tabla12[EMISOR2],Tabla10[[#This Row],[PLATAFORMAS]],Tabla12[MONTO])</f>
        <v>0</v>
      </c>
      <c r="F31" s="9"/>
      <c r="G31" s="16"/>
      <c r="H31" s="9">
        <f>Tabla17[[#This Row],[SALDO]]-Tabla17[[#This Row],[DISPONIBLE]]</f>
        <v>0</v>
      </c>
    </row>
    <row r="32" spans="2:8" x14ac:dyDescent="0.3">
      <c r="C32" s="9"/>
      <c r="D32" s="9">
        <f>SUM(Tabla17[INGRESOS])</f>
        <v>0</v>
      </c>
      <c r="E32" s="9"/>
      <c r="F32" s="9">
        <f>SUM(Tabla17[SALDO])</f>
        <v>0</v>
      </c>
      <c r="G32" s="9"/>
      <c r="H32" s="9"/>
    </row>
    <row r="33" spans="3:8" x14ac:dyDescent="0.3">
      <c r="C33" s="16"/>
      <c r="D33" s="16"/>
      <c r="E33" s="16"/>
      <c r="F33" s="9"/>
      <c r="G33" s="16"/>
      <c r="H33" s="9"/>
    </row>
    <row r="34" spans="3:8" x14ac:dyDescent="0.3">
      <c r="C34" s="16"/>
      <c r="D34" s="16"/>
      <c r="E34" s="16"/>
      <c r="F34" s="9"/>
      <c r="G34" s="16"/>
      <c r="H34" s="9"/>
    </row>
    <row r="35" spans="3:8" x14ac:dyDescent="0.3">
      <c r="C35" s="16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D8011-A195-CA47-B186-55A756EBBBA0}">
  <dimension ref="B2:P34"/>
  <sheetViews>
    <sheetView zoomScale="58" zoomScaleNormal="75" workbookViewId="0">
      <selection activeCell="A18" sqref="A18"/>
    </sheetView>
  </sheetViews>
  <sheetFormatPr baseColWidth="10" defaultColWidth="11" defaultRowHeight="15.6" x14ac:dyDescent="0.3"/>
  <cols>
    <col min="1" max="1" width="4.69921875" customWidth="1"/>
    <col min="2" max="2" width="20.69921875" style="1" customWidth="1"/>
    <col min="3" max="3" width="4.69921875" style="1" customWidth="1"/>
    <col min="4" max="4" width="31.19921875" style="1" bestFit="1" customWidth="1"/>
    <col min="5" max="5" width="4.69921875" style="1" customWidth="1"/>
    <col min="6" max="6" width="20.69921875" style="1" customWidth="1"/>
    <col min="7" max="7" width="4.69921875" style="1" customWidth="1"/>
    <col min="8" max="8" width="20.69921875" style="1" customWidth="1"/>
    <col min="9" max="9" width="4.69921875" style="1" customWidth="1"/>
    <col min="10" max="10" width="20.69921875" style="1" customWidth="1"/>
    <col min="11" max="11" width="4.69921875" style="1" customWidth="1"/>
    <col min="12" max="12" width="21.5" style="1" customWidth="1"/>
    <col min="13" max="13" width="4.69921875" style="1" customWidth="1"/>
    <col min="14" max="14" width="20.69921875" customWidth="1"/>
    <col min="16" max="16" width="11.19921875" style="1" customWidth="1"/>
  </cols>
  <sheetData>
    <row r="2" spans="2:16" x14ac:dyDescent="0.3">
      <c r="B2" s="1" t="s">
        <v>4</v>
      </c>
      <c r="D2" s="1" t="s">
        <v>16</v>
      </c>
      <c r="F2" s="1" t="s">
        <v>15</v>
      </c>
      <c r="H2" s="1" t="s">
        <v>18</v>
      </c>
      <c r="J2" s="1" t="s">
        <v>9</v>
      </c>
      <c r="L2" s="1" t="s">
        <v>24</v>
      </c>
      <c r="N2" s="1" t="s">
        <v>17</v>
      </c>
      <c r="P2" s="1" t="s">
        <v>62</v>
      </c>
    </row>
    <row r="3" spans="2:16" x14ac:dyDescent="0.3">
      <c r="B3" s="1" t="s">
        <v>15</v>
      </c>
      <c r="D3" s="1" t="s">
        <v>216</v>
      </c>
      <c r="F3" s="1" t="s">
        <v>167</v>
      </c>
      <c r="H3" s="1" t="s">
        <v>26</v>
      </c>
      <c r="J3" s="1" t="s">
        <v>15</v>
      </c>
      <c r="L3" s="1" t="s">
        <v>145</v>
      </c>
      <c r="N3" s="6" t="s">
        <v>116</v>
      </c>
      <c r="P3" s="1" t="s">
        <v>63</v>
      </c>
    </row>
    <row r="4" spans="2:16" x14ac:dyDescent="0.3">
      <c r="B4" s="1" t="s">
        <v>16</v>
      </c>
      <c r="D4" s="1" t="s">
        <v>217</v>
      </c>
      <c r="F4" s="1" t="s">
        <v>169</v>
      </c>
      <c r="H4" s="1" t="s">
        <v>27</v>
      </c>
      <c r="J4" s="1" t="s">
        <v>16</v>
      </c>
      <c r="L4" s="1" t="s">
        <v>114</v>
      </c>
      <c r="N4" s="6" t="s">
        <v>161</v>
      </c>
      <c r="P4" s="1" t="s">
        <v>64</v>
      </c>
    </row>
    <row r="5" spans="2:16" x14ac:dyDescent="0.3">
      <c r="B5" s="1" t="s">
        <v>17</v>
      </c>
      <c r="D5" s="1" t="s">
        <v>218</v>
      </c>
      <c r="F5" s="1" t="s">
        <v>168</v>
      </c>
      <c r="H5" s="1" t="s">
        <v>28</v>
      </c>
      <c r="J5" s="1" t="s">
        <v>24</v>
      </c>
      <c r="L5" s="1" t="s">
        <v>115</v>
      </c>
      <c r="N5" s="6" t="s">
        <v>160</v>
      </c>
      <c r="P5" s="1" t="s">
        <v>68</v>
      </c>
    </row>
    <row r="6" spans="2:16" x14ac:dyDescent="0.3">
      <c r="D6" s="1" t="s">
        <v>96</v>
      </c>
      <c r="F6" s="1" t="s">
        <v>170</v>
      </c>
      <c r="H6" s="1" t="s">
        <v>29</v>
      </c>
      <c r="J6" s="1" t="s">
        <v>17</v>
      </c>
      <c r="L6" s="1" t="s">
        <v>79</v>
      </c>
      <c r="N6" s="6" t="s">
        <v>155</v>
      </c>
      <c r="P6" s="1" t="s">
        <v>69</v>
      </c>
    </row>
    <row r="7" spans="2:16" x14ac:dyDescent="0.3">
      <c r="F7" s="1" t="s">
        <v>171</v>
      </c>
      <c r="H7" s="1" t="s">
        <v>30</v>
      </c>
      <c r="L7" s="1" t="s">
        <v>78</v>
      </c>
      <c r="N7" s="6" t="s">
        <v>162</v>
      </c>
      <c r="P7" s="1" t="s">
        <v>70</v>
      </c>
    </row>
    <row r="8" spans="2:16" x14ac:dyDescent="0.3">
      <c r="F8" s="1" t="s">
        <v>172</v>
      </c>
      <c r="H8" s="1" t="s">
        <v>31</v>
      </c>
      <c r="L8" s="1" t="s">
        <v>191</v>
      </c>
      <c r="N8" s="6" t="s">
        <v>146</v>
      </c>
      <c r="P8" s="1" t="s">
        <v>71</v>
      </c>
    </row>
    <row r="9" spans="2:16" x14ac:dyDescent="0.3">
      <c r="F9" s="1" t="s">
        <v>173</v>
      </c>
      <c r="H9" s="1" t="s">
        <v>32</v>
      </c>
      <c r="L9" s="1" t="s">
        <v>192</v>
      </c>
      <c r="N9" s="6" t="s">
        <v>149</v>
      </c>
      <c r="P9" s="1" t="s">
        <v>72</v>
      </c>
    </row>
    <row r="10" spans="2:16" x14ac:dyDescent="0.3">
      <c r="F10" s="1" t="s">
        <v>174</v>
      </c>
      <c r="H10" s="1" t="s">
        <v>33</v>
      </c>
      <c r="L10" s="1" t="s">
        <v>193</v>
      </c>
      <c r="N10" s="6" t="s">
        <v>133</v>
      </c>
      <c r="P10" s="1" t="s">
        <v>73</v>
      </c>
    </row>
    <row r="11" spans="2:16" x14ac:dyDescent="0.3">
      <c r="F11" s="1" t="s">
        <v>179</v>
      </c>
      <c r="H11" s="1" t="s">
        <v>120</v>
      </c>
      <c r="L11" s="1" t="s">
        <v>194</v>
      </c>
      <c r="N11" s="6" t="s">
        <v>135</v>
      </c>
      <c r="P11" s="1" t="s">
        <v>74</v>
      </c>
    </row>
    <row r="12" spans="2:16" x14ac:dyDescent="0.3">
      <c r="F12" s="1" t="s">
        <v>175</v>
      </c>
      <c r="L12" s="1" t="s">
        <v>58</v>
      </c>
      <c r="N12" s="6" t="s">
        <v>38</v>
      </c>
      <c r="P12" s="1" t="s">
        <v>75</v>
      </c>
    </row>
    <row r="13" spans="2:16" x14ac:dyDescent="0.3">
      <c r="F13" s="1" t="s">
        <v>176</v>
      </c>
      <c r="L13" s="1" t="s">
        <v>25</v>
      </c>
      <c r="N13" s="6" t="s">
        <v>59</v>
      </c>
      <c r="P13" s="1" t="s">
        <v>77</v>
      </c>
    </row>
    <row r="14" spans="2:16" x14ac:dyDescent="0.3">
      <c r="F14" s="1" t="s">
        <v>177</v>
      </c>
      <c r="L14" s="1" t="s">
        <v>93</v>
      </c>
      <c r="N14" s="6" t="s">
        <v>132</v>
      </c>
      <c r="P14" s="1" t="s">
        <v>105</v>
      </c>
    </row>
    <row r="15" spans="2:16" x14ac:dyDescent="0.3">
      <c r="F15" s="1" t="s">
        <v>178</v>
      </c>
      <c r="L15" s="1" t="s">
        <v>141</v>
      </c>
      <c r="N15" s="6" t="s">
        <v>136</v>
      </c>
      <c r="P15" s="1" t="s">
        <v>117</v>
      </c>
    </row>
    <row r="16" spans="2:16" x14ac:dyDescent="0.3">
      <c r="F16" s="1" t="s">
        <v>180</v>
      </c>
      <c r="N16" s="6" t="s">
        <v>36</v>
      </c>
    </row>
    <row r="17" spans="6:14" x14ac:dyDescent="0.3">
      <c r="F17" s="1" t="s">
        <v>181</v>
      </c>
      <c r="N17" s="6" t="s">
        <v>41</v>
      </c>
    </row>
    <row r="18" spans="6:14" x14ac:dyDescent="0.3">
      <c r="F18" s="1" t="s">
        <v>182</v>
      </c>
      <c r="N18" s="6" t="s">
        <v>131</v>
      </c>
    </row>
    <row r="19" spans="6:14" x14ac:dyDescent="0.3">
      <c r="F19" s="1" t="s">
        <v>183</v>
      </c>
      <c r="N19" s="6" t="s">
        <v>129</v>
      </c>
    </row>
    <row r="20" spans="6:14" x14ac:dyDescent="0.3">
      <c r="F20" s="1" t="s">
        <v>184</v>
      </c>
      <c r="N20" s="6" t="s">
        <v>130</v>
      </c>
    </row>
    <row r="21" spans="6:14" x14ac:dyDescent="0.3">
      <c r="F21" s="1" t="s">
        <v>185</v>
      </c>
      <c r="N21" s="6" t="s">
        <v>150</v>
      </c>
    </row>
    <row r="22" spans="6:14" x14ac:dyDescent="0.3">
      <c r="F22" s="1" t="s">
        <v>186</v>
      </c>
      <c r="N22" s="6" t="s">
        <v>148</v>
      </c>
    </row>
    <row r="23" spans="6:14" x14ac:dyDescent="0.3">
      <c r="F23" s="1" t="s">
        <v>187</v>
      </c>
      <c r="N23" s="6" t="s">
        <v>163</v>
      </c>
    </row>
    <row r="24" spans="6:14" x14ac:dyDescent="0.3">
      <c r="F24" s="1" t="s">
        <v>188</v>
      </c>
      <c r="N24" s="26" t="s">
        <v>164</v>
      </c>
    </row>
    <row r="25" spans="6:14" x14ac:dyDescent="0.3">
      <c r="F25" s="1" t="s">
        <v>189</v>
      </c>
      <c r="N25" s="26" t="s">
        <v>165</v>
      </c>
    </row>
    <row r="26" spans="6:14" x14ac:dyDescent="0.3">
      <c r="F26" s="1" t="s">
        <v>190</v>
      </c>
      <c r="N26" s="6" t="s">
        <v>134</v>
      </c>
    </row>
    <row r="27" spans="6:14" x14ac:dyDescent="0.3">
      <c r="F27" s="1" t="s">
        <v>212</v>
      </c>
      <c r="N27" s="6" t="s">
        <v>37</v>
      </c>
    </row>
    <row r="28" spans="6:14" x14ac:dyDescent="0.3">
      <c r="F28" s="1" t="s">
        <v>210</v>
      </c>
      <c r="N28" s="6" t="s">
        <v>42</v>
      </c>
    </row>
    <row r="29" spans="6:14" x14ac:dyDescent="0.3">
      <c r="F29" s="1" t="s">
        <v>211</v>
      </c>
      <c r="N29" s="6" t="s">
        <v>40</v>
      </c>
    </row>
    <row r="30" spans="6:14" x14ac:dyDescent="0.3">
      <c r="F30" s="1" t="s">
        <v>209</v>
      </c>
      <c r="N30" s="6" t="s">
        <v>35</v>
      </c>
    </row>
    <row r="31" spans="6:14" x14ac:dyDescent="0.3">
      <c r="F31" s="1" t="s">
        <v>166</v>
      </c>
      <c r="N31" s="6" t="s">
        <v>39</v>
      </c>
    </row>
    <row r="32" spans="6:14" x14ac:dyDescent="0.3">
      <c r="N32" s="6"/>
    </row>
    <row r="33" spans="14:14" x14ac:dyDescent="0.3">
      <c r="N33" s="26"/>
    </row>
    <row r="34" spans="14:14" x14ac:dyDescent="0.3">
      <c r="N34" s="6"/>
    </row>
  </sheetData>
  <sortState xmlns:xlrd2="http://schemas.microsoft.com/office/spreadsheetml/2017/richdata2" ref="D4:D114">
    <sortCondition ref="D4:D114"/>
  </sortState>
  <dataValidations count="1">
    <dataValidation type="list" allowBlank="1" showInputMessage="1" showErrorMessage="1" sqref="N21" xr:uid="{C71E50C8-FF62-BC40-B618-56A7D16204A3}">
      <formula1>INDIRECT($G32)</formula1>
    </dataValidation>
  </dataValidations>
  <pageMargins left="0.7" right="0.7" top="0.75" bottom="0.75" header="0.3" footer="0.3"/>
  <pageSetup orientation="portrait" horizontalDpi="0" verticalDpi="0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A273F-99C4-A441-A051-D6B72E2AD661}">
  <dimension ref="A1"/>
  <sheetViews>
    <sheetView zoomScale="99" workbookViewId="0">
      <selection activeCell="B6" sqref="B6"/>
    </sheetView>
  </sheetViews>
  <sheetFormatPr baseColWidth="10"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7</vt:i4>
      </vt:variant>
    </vt:vector>
  </HeadingPairs>
  <TitlesOfParts>
    <vt:vector size="15" baseType="lpstr">
      <vt:lpstr>DOLARES</vt:lpstr>
      <vt:lpstr>BOLIVARES</vt:lpstr>
      <vt:lpstr>CAMBIOS</vt:lpstr>
      <vt:lpstr>CLIENTES</vt:lpstr>
      <vt:lpstr>BANCOS</vt:lpstr>
      <vt:lpstr>PLATAFORMAS</vt:lpstr>
      <vt:lpstr>LISTAS</vt:lpstr>
      <vt:lpstr>Hoja1</vt:lpstr>
      <vt:lpstr>BANCOS</vt:lpstr>
      <vt:lpstr>CLIENTES</vt:lpstr>
      <vt:lpstr>DOLARES</vt:lpstr>
      <vt:lpstr>EMISOR2</vt:lpstr>
      <vt:lpstr>GASTOS</vt:lpstr>
      <vt:lpstr>ORIGEN</vt:lpstr>
      <vt:lpstr>PLATAFORMAS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Evelio Ramírez</dc:creator>
  <cp:lastModifiedBy>ryzen5</cp:lastModifiedBy>
  <dcterms:created xsi:type="dcterms:W3CDTF">2025-01-12T16:13:20Z</dcterms:created>
  <dcterms:modified xsi:type="dcterms:W3CDTF">2026-07-15T14:52:36Z</dcterms:modified>
</cp:coreProperties>
</file>